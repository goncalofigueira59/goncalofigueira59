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embeddings/oleObject8.bin" ContentType="application/vnd.openxmlformats-officedocument.oleObject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emf" ContentType="image/x-emf"/>
  <Override PartName="/xl/embeddings/oleObject3.bin" ContentType="application/vnd.openxmlformats-officedocument.oleObject"/>
  <Override PartName="/xl/embeddings/oleObject4.bin" ContentType="application/vnd.openxmlformats-officedocument.oleObject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Default Extension="gif" ContentType="image/gif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embeddings/oleObject7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7530" tabRatio="698" firstSheet="5" activeTab="17"/>
  </bookViews>
  <sheets>
    <sheet name="Índice RTIEBT (Portaria 949)" sheetId="22" r:id="rId1"/>
    <sheet name="1.1_ligacao_bt" sheetId="23" r:id="rId2"/>
    <sheet name="11" sheetId="3" r:id="rId3"/>
    <sheet name="12.1" sheetId="9" r:id="rId4"/>
    <sheet name="12.2" sheetId="10" r:id="rId5"/>
    <sheet name="14" sheetId="4" r:id="rId6"/>
    <sheet name="07.1" sheetId="8" r:id="rId7"/>
    <sheet name="07.2" sheetId="11" r:id="rId8"/>
    <sheet name="07.3" sheetId="7" r:id="rId9"/>
    <sheet name="07.4" sheetId="6" r:id="rId10"/>
    <sheet name="airo4" sheetId="12" r:id="rId11"/>
    <sheet name="09" sheetId="13" r:id="rId12"/>
    <sheet name="ELT" sheetId="14" r:id="rId13"/>
    <sheet name="gerador" sheetId="15" r:id="rId14"/>
    <sheet name="pt_ex1" sheetId="16" r:id="rId15"/>
    <sheet name="pt_ex2" sheetId="17" r:id="rId16"/>
    <sheet name="pt_ex3" sheetId="18" r:id="rId17"/>
    <sheet name="terras" sheetId="19" r:id="rId18"/>
    <sheet name="tubosPcabos" sheetId="21" r:id="rId19"/>
    <sheet name="luminotecnia" sheetId="24" r:id="rId20"/>
  </sheets>
  <definedNames>
    <definedName name="_xlnm.Print_Area" localSheetId="8">'07.3'!$A$1:$H$100</definedName>
    <definedName name="mono__tri?" localSheetId="7">'11'!#REF!</definedName>
    <definedName name="mono__tri?" localSheetId="15">'11'!#REF!</definedName>
    <definedName name="mono__tri?" localSheetId="16">'11'!#REF!</definedName>
    <definedName name="mono__tri?" localSheetId="18">'11'!#REF!</definedName>
    <definedName name="mono__tri?">'11'!#REF!</definedName>
  </definedNames>
  <calcPr calcId="125725"/>
</workbook>
</file>

<file path=xl/calcChain.xml><?xml version="1.0" encoding="utf-8"?>
<calcChain xmlns="http://schemas.openxmlformats.org/spreadsheetml/2006/main">
  <c r="L18" i="19"/>
  <c r="L17"/>
  <c r="L16"/>
  <c r="L15"/>
  <c r="L10"/>
  <c r="E17" i="24"/>
  <c r="E12"/>
  <c r="K13"/>
  <c r="I15"/>
  <c r="I14"/>
  <c r="E13"/>
  <c r="E11" i="23"/>
  <c r="E12" s="1"/>
  <c r="E6"/>
  <c r="S14" i="3"/>
  <c r="S16" s="1"/>
  <c r="D42" i="21"/>
  <c r="D41"/>
  <c r="D43"/>
  <c r="D44"/>
  <c r="E24"/>
  <c r="J17"/>
  <c r="K17" s="1"/>
  <c r="J16"/>
  <c r="K16" s="1"/>
  <c r="J15"/>
  <c r="K15" s="1"/>
  <c r="J14"/>
  <c r="K14" s="1"/>
  <c r="J13"/>
  <c r="K13" s="1"/>
  <c r="J12"/>
  <c r="K12" s="1"/>
  <c r="J11"/>
  <c r="K11" s="1"/>
  <c r="J10"/>
  <c r="K10" s="1"/>
  <c r="J9"/>
  <c r="K9" s="1"/>
  <c r="D50"/>
  <c r="D49"/>
  <c r="D48"/>
  <c r="D47"/>
  <c r="D46"/>
  <c r="D45"/>
  <c r="C40"/>
  <c r="D14"/>
  <c r="E14" s="1"/>
  <c r="D13"/>
  <c r="E13" s="1"/>
  <c r="D12"/>
  <c r="E12" s="1"/>
  <c r="D40"/>
  <c r="D39"/>
  <c r="D38"/>
  <c r="D37"/>
  <c r="D36"/>
  <c r="G36" s="1"/>
  <c r="D35"/>
  <c r="D34"/>
  <c r="D33"/>
  <c r="D32"/>
  <c r="D31"/>
  <c r="D30"/>
  <c r="D29"/>
  <c r="D28"/>
  <c r="G28" s="1"/>
  <c r="D27"/>
  <c r="G27" s="1"/>
  <c r="D26"/>
  <c r="D25"/>
  <c r="D24"/>
  <c r="D11"/>
  <c r="E11" s="1"/>
  <c r="D10"/>
  <c r="E10" s="1"/>
  <c r="G9"/>
  <c r="H9" s="1"/>
  <c r="D9"/>
  <c r="E9" s="1"/>
  <c r="G8"/>
  <c r="H8" s="1"/>
  <c r="D8"/>
  <c r="E8" s="1"/>
  <c r="G7"/>
  <c r="H7" s="1"/>
  <c r="D7"/>
  <c r="E7" s="1"/>
  <c r="G6"/>
  <c r="H6" s="1"/>
  <c r="D6"/>
  <c r="E6" s="1"/>
  <c r="E41" s="1"/>
  <c r="G5"/>
  <c r="H5" s="1"/>
  <c r="D5"/>
  <c r="E5" s="1"/>
  <c r="T14" i="3" l="1"/>
  <c r="T16" s="1"/>
  <c r="U16" s="1"/>
  <c r="U18" s="1"/>
  <c r="U21" s="1"/>
  <c r="F48" i="21"/>
  <c r="F47"/>
  <c r="G47"/>
  <c r="E45"/>
  <c r="F49"/>
  <c r="F44"/>
  <c r="G42"/>
  <c r="F46"/>
  <c r="F50"/>
  <c r="E43"/>
  <c r="F42"/>
  <c r="E42"/>
  <c r="G43"/>
  <c r="G41"/>
  <c r="F41"/>
  <c r="F43"/>
  <c r="G46"/>
  <c r="G26"/>
  <c r="G30"/>
  <c r="G38"/>
  <c r="G45"/>
  <c r="G25"/>
  <c r="G29"/>
  <c r="G33"/>
  <c r="G37"/>
  <c r="E44"/>
  <c r="G32"/>
  <c r="G40"/>
  <c r="G31"/>
  <c r="G35"/>
  <c r="G39"/>
  <c r="G50"/>
  <c r="G34"/>
  <c r="G49"/>
  <c r="G44"/>
  <c r="G24"/>
  <c r="G48"/>
  <c r="E50"/>
  <c r="E49"/>
  <c r="E48"/>
  <c r="E47"/>
  <c r="E46"/>
  <c r="F45"/>
  <c r="E39"/>
  <c r="E27"/>
  <c r="E31"/>
  <c r="E35"/>
  <c r="E40"/>
  <c r="E37"/>
  <c r="E26"/>
  <c r="E30"/>
  <c r="E34"/>
  <c r="E25"/>
  <c r="E38"/>
  <c r="F35"/>
  <c r="F39"/>
  <c r="F31"/>
  <c r="F27"/>
  <c r="F40"/>
  <c r="F36"/>
  <c r="F32"/>
  <c r="F28"/>
  <c r="F24"/>
  <c r="F25"/>
  <c r="F29"/>
  <c r="F33"/>
  <c r="F37"/>
  <c r="E29"/>
  <c r="E33"/>
  <c r="E28"/>
  <c r="E32"/>
  <c r="E36"/>
  <c r="F26"/>
  <c r="F30"/>
  <c r="F34"/>
  <c r="F38"/>
  <c r="G29" i="19" l="1"/>
  <c r="G28"/>
  <c r="G27"/>
  <c r="G26" s="1"/>
  <c r="G23"/>
  <c r="G22"/>
  <c r="F22"/>
  <c r="G21"/>
  <c r="G20"/>
  <c r="G19"/>
  <c r="C36" s="1"/>
  <c r="G15"/>
  <c r="G11"/>
  <c r="E34" i="16"/>
  <c r="E24" i="18"/>
  <c r="E33" s="1"/>
  <c r="E23"/>
  <c r="E22"/>
  <c r="H10"/>
  <c r="E9" i="17"/>
  <c r="E25"/>
  <c r="H10"/>
  <c r="E24" s="1"/>
  <c r="H10" i="16"/>
  <c r="E23" s="1"/>
  <c r="E24"/>
  <c r="E25" s="1"/>
  <c r="I11" i="15"/>
  <c r="G8"/>
  <c r="G7"/>
  <c r="H9"/>
  <c r="H6"/>
  <c r="G9"/>
  <c r="G6"/>
  <c r="D14" i="14"/>
  <c r="E14"/>
  <c r="F14"/>
  <c r="G14"/>
  <c r="H14"/>
  <c r="I14"/>
  <c r="J14"/>
  <c r="K14"/>
  <c r="D15"/>
  <c r="E15"/>
  <c r="F15"/>
  <c r="G15"/>
  <c r="H15"/>
  <c r="I15"/>
  <c r="J15"/>
  <c r="K15"/>
  <c r="D16"/>
  <c r="E16"/>
  <c r="F16"/>
  <c r="G16"/>
  <c r="H16"/>
  <c r="I16"/>
  <c r="J16"/>
  <c r="K16"/>
  <c r="D17"/>
  <c r="E17"/>
  <c r="F17"/>
  <c r="G17"/>
  <c r="H17"/>
  <c r="I17"/>
  <c r="J17"/>
  <c r="K17"/>
  <c r="D18"/>
  <c r="E18"/>
  <c r="F18"/>
  <c r="G18"/>
  <c r="H18"/>
  <c r="I18"/>
  <c r="J18"/>
  <c r="K18"/>
  <c r="D19"/>
  <c r="E19"/>
  <c r="F19"/>
  <c r="G19"/>
  <c r="H19"/>
  <c r="I19"/>
  <c r="J19"/>
  <c r="K19"/>
  <c r="D20"/>
  <c r="E20"/>
  <c r="F20"/>
  <c r="G20"/>
  <c r="H20"/>
  <c r="I20"/>
  <c r="J20"/>
  <c r="K20"/>
  <c r="D21"/>
  <c r="E21"/>
  <c r="F21"/>
  <c r="G21"/>
  <c r="H21"/>
  <c r="I21"/>
  <c r="J21"/>
  <c r="K21"/>
  <c r="E22"/>
  <c r="F22"/>
  <c r="G22"/>
  <c r="H22"/>
  <c r="I22"/>
  <c r="J22"/>
  <c r="K22"/>
  <c r="I26"/>
  <c r="I25"/>
  <c r="H25"/>
  <c r="I24"/>
  <c r="H24"/>
  <c r="G24"/>
  <c r="I23"/>
  <c r="H23"/>
  <c r="G23"/>
  <c r="F23"/>
  <c r="S28"/>
  <c r="S27"/>
  <c r="S26"/>
  <c r="S25"/>
  <c r="S24"/>
  <c r="S23"/>
  <c r="S22"/>
  <c r="S21"/>
  <c r="S20"/>
  <c r="S19"/>
  <c r="T28"/>
  <c r="R28"/>
  <c r="Q28"/>
  <c r="P28"/>
  <c r="O28"/>
  <c r="N28"/>
  <c r="T27"/>
  <c r="R27"/>
  <c r="Q27"/>
  <c r="P27"/>
  <c r="O27"/>
  <c r="N27"/>
  <c r="T26"/>
  <c r="R26"/>
  <c r="Q26"/>
  <c r="P26"/>
  <c r="O26"/>
  <c r="N26"/>
  <c r="T25"/>
  <c r="R25"/>
  <c r="Q25"/>
  <c r="P25"/>
  <c r="O25"/>
  <c r="N25"/>
  <c r="T24"/>
  <c r="R24"/>
  <c r="Q24"/>
  <c r="P24"/>
  <c r="O24"/>
  <c r="N24"/>
  <c r="T23"/>
  <c r="R23"/>
  <c r="Q23"/>
  <c r="P23"/>
  <c r="O23"/>
  <c r="N23"/>
  <c r="T22"/>
  <c r="R22"/>
  <c r="Q22"/>
  <c r="P22"/>
  <c r="O22"/>
  <c r="N22"/>
  <c r="T21"/>
  <c r="R21"/>
  <c r="Q21"/>
  <c r="P21"/>
  <c r="O21"/>
  <c r="N21"/>
  <c r="T20"/>
  <c r="R20"/>
  <c r="Q20"/>
  <c r="P20"/>
  <c r="O20"/>
  <c r="N20"/>
  <c r="T19"/>
  <c r="R19"/>
  <c r="Q19"/>
  <c r="P19"/>
  <c r="O19"/>
  <c r="N19"/>
  <c r="R18"/>
  <c r="Q18"/>
  <c r="P18"/>
  <c r="O18"/>
  <c r="N18"/>
  <c r="P17"/>
  <c r="O17"/>
  <c r="N17"/>
  <c r="O16"/>
  <c r="N16"/>
  <c r="M28"/>
  <c r="L28"/>
  <c r="K28"/>
  <c r="M27"/>
  <c r="L27"/>
  <c r="K27"/>
  <c r="J27"/>
  <c r="M26"/>
  <c r="L26"/>
  <c r="K26"/>
  <c r="J26"/>
  <c r="M25"/>
  <c r="L25"/>
  <c r="K25"/>
  <c r="J25"/>
  <c r="M24"/>
  <c r="L24"/>
  <c r="K24"/>
  <c r="J24"/>
  <c r="M23"/>
  <c r="L23"/>
  <c r="K23"/>
  <c r="J23"/>
  <c r="M22"/>
  <c r="L22"/>
  <c r="M21"/>
  <c r="L21"/>
  <c r="M20"/>
  <c r="L20"/>
  <c r="M19"/>
  <c r="L19"/>
  <c r="M18"/>
  <c r="L18"/>
  <c r="M17"/>
  <c r="L17"/>
  <c r="M16"/>
  <c r="L16"/>
  <c r="M15"/>
  <c r="L15"/>
  <c r="F34" i="13"/>
  <c r="E90" i="12"/>
  <c r="I68" i="11"/>
  <c r="H68"/>
  <c r="D66"/>
  <c r="H66"/>
  <c r="J66"/>
  <c r="I66" s="1"/>
  <c r="H65"/>
  <c r="I65"/>
  <c r="H59"/>
  <c r="K59" s="1"/>
  <c r="I59"/>
  <c r="L59" s="1"/>
  <c r="J59"/>
  <c r="J8"/>
  <c r="N40"/>
  <c r="J67"/>
  <c r="I67"/>
  <c r="J64"/>
  <c r="J63"/>
  <c r="I63"/>
  <c r="J62"/>
  <c r="I62"/>
  <c r="H67"/>
  <c r="H64"/>
  <c r="H63"/>
  <c r="H62"/>
  <c r="E75" i="6"/>
  <c r="F95"/>
  <c r="F68"/>
  <c r="E68"/>
  <c r="E76" s="1"/>
  <c r="F91"/>
  <c r="F89"/>
  <c r="F77"/>
  <c r="F64"/>
  <c r="F62"/>
  <c r="F66" s="1"/>
  <c r="F61"/>
  <c r="F65" s="1"/>
  <c r="E77"/>
  <c r="G77" i="7"/>
  <c r="F77"/>
  <c r="E77"/>
  <c r="E59"/>
  <c r="E76" i="12"/>
  <c r="I14" i="8"/>
  <c r="I33" s="1"/>
  <c r="E58" i="12"/>
  <c r="E52"/>
  <c r="E67"/>
  <c r="E50"/>
  <c r="E46"/>
  <c r="E60" s="1"/>
  <c r="E38"/>
  <c r="E13"/>
  <c r="E88" s="1"/>
  <c r="D42" i="11"/>
  <c r="J47"/>
  <c r="G47"/>
  <c r="F47"/>
  <c r="I29"/>
  <c r="J29" s="1"/>
  <c r="H29"/>
  <c r="H47" s="1"/>
  <c r="D44"/>
  <c r="I17"/>
  <c r="J17" s="1"/>
  <c r="J43" s="1"/>
  <c r="D38"/>
  <c r="H20" s="1"/>
  <c r="D36"/>
  <c r="H48"/>
  <c r="G49"/>
  <c r="G48"/>
  <c r="F49"/>
  <c r="F48"/>
  <c r="D41"/>
  <c r="J32"/>
  <c r="J48" s="1"/>
  <c r="I32"/>
  <c r="I48" s="1"/>
  <c r="H38"/>
  <c r="I38"/>
  <c r="J38"/>
  <c r="K38"/>
  <c r="L38"/>
  <c r="M38"/>
  <c r="N38"/>
  <c r="N39"/>
  <c r="F40"/>
  <c r="G40"/>
  <c r="F41"/>
  <c r="G41"/>
  <c r="F42"/>
  <c r="G42"/>
  <c r="H26"/>
  <c r="D31"/>
  <c r="J11" s="1"/>
  <c r="D35"/>
  <c r="I14" s="1"/>
  <c r="F89" i="4"/>
  <c r="G46" i="11"/>
  <c r="F46"/>
  <c r="H45"/>
  <c r="G45"/>
  <c r="F45"/>
  <c r="G44"/>
  <c r="F44"/>
  <c r="H43"/>
  <c r="G43"/>
  <c r="F43"/>
  <c r="I26"/>
  <c r="I46" s="1"/>
  <c r="I23"/>
  <c r="I45" s="1"/>
  <c r="I20"/>
  <c r="I44" s="1"/>
  <c r="M8"/>
  <c r="M40" s="1"/>
  <c r="H25" i="9"/>
  <c r="G27"/>
  <c r="G26"/>
  <c r="G25"/>
  <c r="G24"/>
  <c r="G23"/>
  <c r="G29"/>
  <c r="H29"/>
  <c r="G28"/>
  <c r="H28"/>
  <c r="H27"/>
  <c r="H26"/>
  <c r="H24"/>
  <c r="H23"/>
  <c r="G22"/>
  <c r="G21"/>
  <c r="G20"/>
  <c r="G19"/>
  <c r="G18"/>
  <c r="G17"/>
  <c r="G16"/>
  <c r="G15"/>
  <c r="G14"/>
  <c r="G13"/>
  <c r="G12"/>
  <c r="G11"/>
  <c r="G10"/>
  <c r="G9"/>
  <c r="G8"/>
  <c r="G7"/>
  <c r="G6"/>
  <c r="H6"/>
  <c r="H22"/>
  <c r="H21"/>
  <c r="H20"/>
  <c r="H19"/>
  <c r="H18"/>
  <c r="H17"/>
  <c r="H16"/>
  <c r="H15"/>
  <c r="H14"/>
  <c r="H13"/>
  <c r="H12"/>
  <c r="H11"/>
  <c r="H10"/>
  <c r="H9"/>
  <c r="H8"/>
  <c r="H7"/>
  <c r="Q68" i="4"/>
  <c r="H8" i="8"/>
  <c r="K8" s="1"/>
  <c r="K31" s="1"/>
  <c r="I8"/>
  <c r="I31"/>
  <c r="N30"/>
  <c r="N29"/>
  <c r="M29"/>
  <c r="L29"/>
  <c r="K29"/>
  <c r="J29"/>
  <c r="I29"/>
  <c r="H29"/>
  <c r="J37"/>
  <c r="I37"/>
  <c r="H37"/>
  <c r="J36"/>
  <c r="I36"/>
  <c r="H36"/>
  <c r="J35"/>
  <c r="I35"/>
  <c r="H35"/>
  <c r="J34"/>
  <c r="I34"/>
  <c r="H34"/>
  <c r="H33"/>
  <c r="J32"/>
  <c r="I32"/>
  <c r="H32"/>
  <c r="N31"/>
  <c r="M31"/>
  <c r="J31"/>
  <c r="G37"/>
  <c r="G36"/>
  <c r="G35"/>
  <c r="G34"/>
  <c r="G33"/>
  <c r="G32"/>
  <c r="G31"/>
  <c r="F37"/>
  <c r="F36"/>
  <c r="F35"/>
  <c r="F34"/>
  <c r="F33"/>
  <c r="F32"/>
  <c r="F31"/>
  <c r="I17"/>
  <c r="L8"/>
  <c r="L31" s="1"/>
  <c r="I23"/>
  <c r="J17"/>
  <c r="I20"/>
  <c r="H14"/>
  <c r="I26"/>
  <c r="H26"/>
  <c r="J23"/>
  <c r="H20"/>
  <c r="D38"/>
  <c r="D36"/>
  <c r="I11"/>
  <c r="J11"/>
  <c r="H11" s="1"/>
  <c r="J8"/>
  <c r="G95" i="7"/>
  <c r="F95"/>
  <c r="E95"/>
  <c r="G91"/>
  <c r="F91"/>
  <c r="E91"/>
  <c r="G68"/>
  <c r="F68"/>
  <c r="F76" s="1"/>
  <c r="E68"/>
  <c r="E76" s="1"/>
  <c r="F65"/>
  <c r="F62"/>
  <c r="H60"/>
  <c r="G59"/>
  <c r="F59"/>
  <c r="E51"/>
  <c r="E49"/>
  <c r="E45"/>
  <c r="E57" s="1"/>
  <c r="E38"/>
  <c r="F64" s="1"/>
  <c r="E13"/>
  <c r="E89" s="1"/>
  <c r="E30" i="18" l="1"/>
  <c r="E28"/>
  <c r="E26" i="17"/>
  <c r="E23"/>
  <c r="E31" s="1"/>
  <c r="E34"/>
  <c r="E25" i="18"/>
  <c r="E26" s="1"/>
  <c r="E36" s="1"/>
  <c r="E27" i="17"/>
  <c r="E28"/>
  <c r="E27" i="16"/>
  <c r="E29"/>
  <c r="E26"/>
  <c r="E37" s="1"/>
  <c r="E22"/>
  <c r="E28" s="1"/>
  <c r="H8" i="15"/>
  <c r="G11"/>
  <c r="H7"/>
  <c r="J41" i="11"/>
  <c r="J60" s="1"/>
  <c r="H14"/>
  <c r="H42" s="1"/>
  <c r="H61" s="1"/>
  <c r="H11"/>
  <c r="F79" i="7"/>
  <c r="J65" i="11"/>
  <c r="M59"/>
  <c r="N59" s="1"/>
  <c r="F76" i="6"/>
  <c r="F79" s="1"/>
  <c r="F75"/>
  <c r="F78"/>
  <c r="E79" i="7"/>
  <c r="G75"/>
  <c r="G78" s="1"/>
  <c r="G57"/>
  <c r="F57"/>
  <c r="E74"/>
  <c r="G76"/>
  <c r="G79" s="1"/>
  <c r="F75"/>
  <c r="F78" s="1"/>
  <c r="G74"/>
  <c r="E75"/>
  <c r="E78" s="1"/>
  <c r="F74"/>
  <c r="E70"/>
  <c r="E71" s="1"/>
  <c r="E72" s="1"/>
  <c r="E64"/>
  <c r="E74" i="12"/>
  <c r="E61" i="7"/>
  <c r="E62" s="1"/>
  <c r="E66" s="1"/>
  <c r="G61"/>
  <c r="G65" s="1"/>
  <c r="E77" i="12"/>
  <c r="E73"/>
  <c r="J14" i="8"/>
  <c r="J33" s="1"/>
  <c r="E75" i="12"/>
  <c r="E78" s="1"/>
  <c r="E69"/>
  <c r="E70" s="1"/>
  <c r="E71" s="1"/>
  <c r="E56"/>
  <c r="E63"/>
  <c r="E64"/>
  <c r="E61"/>
  <c r="E65" s="1"/>
  <c r="I47" i="11"/>
  <c r="H35"/>
  <c r="H49" s="1"/>
  <c r="I35"/>
  <c r="I49" s="1"/>
  <c r="J40"/>
  <c r="I42"/>
  <c r="I61" s="1"/>
  <c r="J23"/>
  <c r="J45" s="1"/>
  <c r="H44"/>
  <c r="J20"/>
  <c r="J44" s="1"/>
  <c r="J26"/>
  <c r="J46" s="1"/>
  <c r="N8"/>
  <c r="I43"/>
  <c r="I11"/>
  <c r="H46"/>
  <c r="I8"/>
  <c r="I40" s="1"/>
  <c r="H31" i="8"/>
  <c r="K11"/>
  <c r="K32" s="1"/>
  <c r="L11"/>
  <c r="M8"/>
  <c r="N8" s="1"/>
  <c r="J20"/>
  <c r="J26"/>
  <c r="F70" i="7"/>
  <c r="F71" s="1"/>
  <c r="F72" s="1"/>
  <c r="G70"/>
  <c r="G71" s="1"/>
  <c r="G72" s="1"/>
  <c r="G64"/>
  <c r="F89"/>
  <c r="F66"/>
  <c r="G89"/>
  <c r="E29" i="17" l="1"/>
  <c r="E35" s="1"/>
  <c r="E37"/>
  <c r="E30"/>
  <c r="E36" s="1"/>
  <c r="E27" i="18"/>
  <c r="E34" s="1"/>
  <c r="E29"/>
  <c r="E35" s="1"/>
  <c r="E35" i="16"/>
  <c r="E30"/>
  <c r="E36" s="1"/>
  <c r="H11" i="15"/>
  <c r="H41" i="11"/>
  <c r="H60" s="1"/>
  <c r="K60" s="1"/>
  <c r="K61" s="1"/>
  <c r="K62" s="1"/>
  <c r="K63" s="1"/>
  <c r="K64" s="1"/>
  <c r="K65" s="1"/>
  <c r="I41"/>
  <c r="I60" s="1"/>
  <c r="L60" s="1"/>
  <c r="L61" s="1"/>
  <c r="F81" i="6"/>
  <c r="F83" s="1"/>
  <c r="F80"/>
  <c r="F93" s="1"/>
  <c r="F96" s="1"/>
  <c r="F97" s="1"/>
  <c r="G81" i="7"/>
  <c r="G83" s="1"/>
  <c r="G80"/>
  <c r="E81"/>
  <c r="E83" s="1"/>
  <c r="E80"/>
  <c r="F81"/>
  <c r="F83" s="1"/>
  <c r="F80"/>
  <c r="E65"/>
  <c r="G62"/>
  <c r="G66" s="1"/>
  <c r="E80" i="12"/>
  <c r="E82" s="1"/>
  <c r="E79"/>
  <c r="J35" i="11"/>
  <c r="J49" s="1"/>
  <c r="J68" s="1"/>
  <c r="J14"/>
  <c r="J42" s="1"/>
  <c r="J61" s="1"/>
  <c r="L8"/>
  <c r="L40" s="1"/>
  <c r="H8"/>
  <c r="H40" s="1"/>
  <c r="L11"/>
  <c r="L41" s="1"/>
  <c r="M11" i="8"/>
  <c r="M32" s="1"/>
  <c r="K14"/>
  <c r="K17" s="1"/>
  <c r="L32"/>
  <c r="L14"/>
  <c r="K33"/>
  <c r="N11"/>
  <c r="N32" s="1"/>
  <c r="E6" i="6"/>
  <c r="E39" s="1"/>
  <c r="E91"/>
  <c r="E49"/>
  <c r="E52" s="1"/>
  <c r="E46"/>
  <c r="E61" s="1"/>
  <c r="E14"/>
  <c r="F74" s="1"/>
  <c r="O90" i="4"/>
  <c r="N90"/>
  <c r="M90"/>
  <c r="F96"/>
  <c r="M68"/>
  <c r="M69" s="1"/>
  <c r="N69" s="1"/>
  <c r="O89"/>
  <c r="O96" s="1"/>
  <c r="N89"/>
  <c r="M89"/>
  <c r="L89"/>
  <c r="L96" s="1"/>
  <c r="K89"/>
  <c r="K96" s="1"/>
  <c r="J89"/>
  <c r="I89"/>
  <c r="H89"/>
  <c r="G88"/>
  <c r="Q76"/>
  <c r="Q74"/>
  <c r="Q72"/>
  <c r="M73"/>
  <c r="N73" s="1"/>
  <c r="N77"/>
  <c r="N76"/>
  <c r="N75"/>
  <c r="N74"/>
  <c r="N72"/>
  <c r="N71"/>
  <c r="N70"/>
  <c r="Q71"/>
  <c r="P69"/>
  <c r="Q69"/>
  <c r="R69"/>
  <c r="I77"/>
  <c r="H77"/>
  <c r="G77"/>
  <c r="F77"/>
  <c r="I76"/>
  <c r="H76"/>
  <c r="G76"/>
  <c r="F76"/>
  <c r="E77"/>
  <c r="E76"/>
  <c r="I69"/>
  <c r="H69"/>
  <c r="G69"/>
  <c r="F69"/>
  <c r="E69"/>
  <c r="D69"/>
  <c r="D77"/>
  <c r="D76"/>
  <c r="J75"/>
  <c r="J74"/>
  <c r="J73"/>
  <c r="O73" s="1"/>
  <c r="J72"/>
  <c r="J71"/>
  <c r="J70"/>
  <c r="O70" s="1"/>
  <c r="J68"/>
  <c r="F51"/>
  <c r="F48"/>
  <c r="F43"/>
  <c r="F44" s="1"/>
  <c r="F46" s="1"/>
  <c r="H39" i="3"/>
  <c r="F51"/>
  <c r="E51"/>
  <c r="J43"/>
  <c r="G52" s="1"/>
  <c r="H52" s="1"/>
  <c r="H28"/>
  <c r="H27"/>
  <c r="I27" s="1"/>
  <c r="H26"/>
  <c r="H34"/>
  <c r="I34" s="1"/>
  <c r="F50" s="1"/>
  <c r="E17"/>
  <c r="I17" s="1"/>
  <c r="J17" s="1"/>
  <c r="D3"/>
  <c r="E9" s="1"/>
  <c r="I9" s="1"/>
  <c r="J9" s="1"/>
  <c r="I16"/>
  <c r="J16" s="1"/>
  <c r="E11"/>
  <c r="I11" s="1"/>
  <c r="E10"/>
  <c r="I10" s="1"/>
  <c r="J10" s="1"/>
  <c r="M61" i="11" l="1"/>
  <c r="N61" s="1"/>
  <c r="M60"/>
  <c r="N60" s="1"/>
  <c r="L62"/>
  <c r="L63" s="1"/>
  <c r="E82" i="7"/>
  <c r="E93"/>
  <c r="E96" s="1"/>
  <c r="E97" s="1"/>
  <c r="F82"/>
  <c r="F93"/>
  <c r="F96" s="1"/>
  <c r="F97" s="1"/>
  <c r="G82"/>
  <c r="G93"/>
  <c r="G96" s="1"/>
  <c r="G97" s="1"/>
  <c r="M62" i="11"/>
  <c r="N62" s="1"/>
  <c r="K66"/>
  <c r="F82" i="6"/>
  <c r="F84" s="1"/>
  <c r="F87" s="1"/>
  <c r="F90" s="1"/>
  <c r="E64"/>
  <c r="F70"/>
  <c r="F71" s="1"/>
  <c r="F72" s="1"/>
  <c r="E70"/>
  <c r="E71" s="1"/>
  <c r="E79"/>
  <c r="E78"/>
  <c r="E65"/>
  <c r="E74"/>
  <c r="F84" i="7"/>
  <c r="G84"/>
  <c r="E84"/>
  <c r="E81" i="12"/>
  <c r="E92"/>
  <c r="E95" s="1"/>
  <c r="E96" s="1"/>
  <c r="E83"/>
  <c r="L14" i="11"/>
  <c r="L42" s="1"/>
  <c r="K8"/>
  <c r="K40" s="1"/>
  <c r="K11"/>
  <c r="K41" s="1"/>
  <c r="T72" i="4"/>
  <c r="U72"/>
  <c r="T71"/>
  <c r="U71"/>
  <c r="U70"/>
  <c r="T70"/>
  <c r="U75"/>
  <c r="T75"/>
  <c r="O74"/>
  <c r="G89"/>
  <c r="G96" s="1"/>
  <c r="T77"/>
  <c r="U74"/>
  <c r="T74"/>
  <c r="U73"/>
  <c r="T73"/>
  <c r="M14" i="8"/>
  <c r="N14" s="1"/>
  <c r="N33" s="1"/>
  <c r="L33"/>
  <c r="L17"/>
  <c r="M33"/>
  <c r="K34"/>
  <c r="K20"/>
  <c r="E72" i="6"/>
  <c r="E89"/>
  <c r="E62"/>
  <c r="E66" s="1"/>
  <c r="O72" i="4"/>
  <c r="O71"/>
  <c r="N68"/>
  <c r="O68" s="1"/>
  <c r="O69" s="1"/>
  <c r="O75"/>
  <c r="J77"/>
  <c r="O77" s="1"/>
  <c r="J76"/>
  <c r="O76" s="1"/>
  <c r="J69"/>
  <c r="F49"/>
  <c r="F50" s="1"/>
  <c r="H43" i="3"/>
  <c r="E50"/>
  <c r="L43"/>
  <c r="K74" i="4" s="1"/>
  <c r="S74" s="1"/>
  <c r="J27" i="3"/>
  <c r="K27" s="1"/>
  <c r="K76" i="4" s="1"/>
  <c r="S76" s="1"/>
  <c r="H29" i="3"/>
  <c r="E49" s="1"/>
  <c r="J39"/>
  <c r="I26"/>
  <c r="J26" s="1"/>
  <c r="K26" s="1"/>
  <c r="K75" i="4" s="1"/>
  <c r="I28" i="3"/>
  <c r="J28" s="1"/>
  <c r="K28" s="1"/>
  <c r="K77" i="4" s="1"/>
  <c r="O92" s="1"/>
  <c r="J34" i="3"/>
  <c r="G50" s="1"/>
  <c r="H50" s="1"/>
  <c r="I18"/>
  <c r="J18"/>
  <c r="J11"/>
  <c r="J12" s="1"/>
  <c r="I12"/>
  <c r="M92" i="4" l="1"/>
  <c r="S75"/>
  <c r="L92"/>
  <c r="N92"/>
  <c r="S77"/>
  <c r="L64" i="11"/>
  <c r="M63"/>
  <c r="N63" s="1"/>
  <c r="K67"/>
  <c r="F86" i="6"/>
  <c r="E81"/>
  <c r="E83" s="1"/>
  <c r="E80"/>
  <c r="G86" i="7"/>
  <c r="G87"/>
  <c r="G90" s="1"/>
  <c r="E87"/>
  <c r="E90" s="1"/>
  <c r="E86"/>
  <c r="F87"/>
  <c r="F90" s="1"/>
  <c r="F86"/>
  <c r="E85" i="12"/>
  <c r="E86"/>
  <c r="E89" s="1"/>
  <c r="K14" i="11"/>
  <c r="K42" s="1"/>
  <c r="M11"/>
  <c r="M41" s="1"/>
  <c r="L17"/>
  <c r="T76" i="4"/>
  <c r="T68"/>
  <c r="U77"/>
  <c r="U76"/>
  <c r="U68"/>
  <c r="U69"/>
  <c r="T69"/>
  <c r="L20" i="8"/>
  <c r="M20" s="1"/>
  <c r="L34"/>
  <c r="M17"/>
  <c r="M34" s="1"/>
  <c r="K35"/>
  <c r="K23"/>
  <c r="M17" i="3"/>
  <c r="M18" s="1"/>
  <c r="F48" s="1"/>
  <c r="I43"/>
  <c r="F52" s="1"/>
  <c r="M43"/>
  <c r="L90" i="4" s="1"/>
  <c r="E52" i="3"/>
  <c r="L39"/>
  <c r="K73" i="4" s="1"/>
  <c r="G51" i="3"/>
  <c r="J29"/>
  <c r="G49" s="1"/>
  <c r="H49" s="1"/>
  <c r="L34"/>
  <c r="M34"/>
  <c r="M39"/>
  <c r="K90" i="4" s="1"/>
  <c r="L17" i="3"/>
  <c r="I29"/>
  <c r="F49" s="1"/>
  <c r="J90" i="4" l="1"/>
  <c r="F15"/>
  <c r="K92"/>
  <c r="S73"/>
  <c r="F17"/>
  <c r="K72"/>
  <c r="F53" i="3"/>
  <c r="L65" i="11"/>
  <c r="M64"/>
  <c r="N64" s="1"/>
  <c r="K68"/>
  <c r="E82" i="6"/>
  <c r="E84" s="1"/>
  <c r="E93"/>
  <c r="E96" s="1"/>
  <c r="E97" s="1"/>
  <c r="L20" i="11"/>
  <c r="L43"/>
  <c r="K17"/>
  <c r="M14"/>
  <c r="M42" s="1"/>
  <c r="N11"/>
  <c r="N41" s="1"/>
  <c r="L35" i="8"/>
  <c r="L23"/>
  <c r="N17"/>
  <c r="N34" s="1"/>
  <c r="M35"/>
  <c r="N20"/>
  <c r="N35" s="1"/>
  <c r="K26"/>
  <c r="K36"/>
  <c r="M29" i="3"/>
  <c r="I90" i="4" s="1"/>
  <c r="L29" i="3"/>
  <c r="K71" i="4" s="1"/>
  <c r="H51" i="3"/>
  <c r="N17"/>
  <c r="L18"/>
  <c r="S71" i="4" l="1"/>
  <c r="I92"/>
  <c r="J92"/>
  <c r="S72"/>
  <c r="F8"/>
  <c r="F9" s="1"/>
  <c r="L66" i="11"/>
  <c r="M65"/>
  <c r="N65" s="1"/>
  <c r="E86" i="6"/>
  <c r="E87"/>
  <c r="E90" s="1"/>
  <c r="N14" i="11"/>
  <c r="N42" s="1"/>
  <c r="F9" i="13" s="1"/>
  <c r="F12" s="1"/>
  <c r="L44" i="11"/>
  <c r="L23"/>
  <c r="M17"/>
  <c r="K20"/>
  <c r="K43"/>
  <c r="L36" i="8"/>
  <c r="L26"/>
  <c r="L37" s="1"/>
  <c r="M23"/>
  <c r="N23" s="1"/>
  <c r="N36" s="1"/>
  <c r="K37"/>
  <c r="N18" i="3"/>
  <c r="N13" s="1"/>
  <c r="H90" i="4" s="1"/>
  <c r="E48" i="3"/>
  <c r="E53" s="1"/>
  <c r="G48" l="1"/>
  <c r="M13"/>
  <c r="K70" i="4" s="1"/>
  <c r="L67" i="11"/>
  <c r="M66"/>
  <c r="N66" s="1"/>
  <c r="N17"/>
  <c r="N43" s="1"/>
  <c r="M43"/>
  <c r="K44"/>
  <c r="K23"/>
  <c r="M20"/>
  <c r="L45"/>
  <c r="L26"/>
  <c r="L29" s="1"/>
  <c r="M26" i="8"/>
  <c r="M37" s="1"/>
  <c r="M36"/>
  <c r="N26"/>
  <c r="N37" s="1"/>
  <c r="H48" i="3"/>
  <c r="G53"/>
  <c r="O53" s="1"/>
  <c r="F90" i="4" s="1"/>
  <c r="G90" l="1"/>
  <c r="H92"/>
  <c r="S70"/>
  <c r="L68" i="11"/>
  <c r="M68" s="1"/>
  <c r="N68" s="1"/>
  <c r="M67"/>
  <c r="N67" s="1"/>
  <c r="L32"/>
  <c r="L47"/>
  <c r="L46"/>
  <c r="K45"/>
  <c r="M23"/>
  <c r="K26"/>
  <c r="M44"/>
  <c r="N20"/>
  <c r="N44" s="1"/>
  <c r="F24" i="13" s="1"/>
  <c r="F27" s="1"/>
  <c r="H53" i="3"/>
  <c r="L53"/>
  <c r="N53" s="1"/>
  <c r="K68" i="4" s="1"/>
  <c r="K69" l="1"/>
  <c r="F92"/>
  <c r="S68"/>
  <c r="K29" i="11"/>
  <c r="K47" s="1"/>
  <c r="L35"/>
  <c r="L48"/>
  <c r="N23"/>
  <c r="N45" s="1"/>
  <c r="M45"/>
  <c r="K46"/>
  <c r="M26"/>
  <c r="G92" i="4" l="1"/>
  <c r="S69"/>
  <c r="F94"/>
  <c r="F97"/>
  <c r="M29" i="11"/>
  <c r="K32"/>
  <c r="L49"/>
  <c r="N26"/>
  <c r="N46" s="1"/>
  <c r="M46"/>
  <c r="L94" i="4" l="1"/>
  <c r="L95" s="1"/>
  <c r="F95"/>
  <c r="K94"/>
  <c r="K95" s="1"/>
  <c r="I94"/>
  <c r="I95" s="1"/>
  <c r="J94"/>
  <c r="J95" s="1"/>
  <c r="H94"/>
  <c r="H95" s="1"/>
  <c r="G97"/>
  <c r="G98" s="1"/>
  <c r="G94"/>
  <c r="G95" s="1"/>
  <c r="F98"/>
  <c r="K97"/>
  <c r="K98" s="1"/>
  <c r="L97"/>
  <c r="L98" s="1"/>
  <c r="J97"/>
  <c r="J98" s="1"/>
  <c r="I97"/>
  <c r="H97"/>
  <c r="H98" s="1"/>
  <c r="N29" i="11"/>
  <c r="N47" s="1"/>
  <c r="M47"/>
  <c r="K48"/>
  <c r="K35"/>
  <c r="M32"/>
  <c r="N94" i="4" l="1"/>
  <c r="N95" s="1"/>
  <c r="N97"/>
  <c r="N98" s="1"/>
  <c r="I98"/>
  <c r="O94"/>
  <c r="O95" s="1"/>
  <c r="O97"/>
  <c r="O98" s="1"/>
  <c r="M97"/>
  <c r="M98" s="1"/>
  <c r="M94"/>
  <c r="M95" s="1"/>
  <c r="N32" i="11"/>
  <c r="N48" s="1"/>
  <c r="M48"/>
  <c r="K49"/>
  <c r="M35"/>
  <c r="N35" l="1"/>
  <c r="N49" s="1"/>
  <c r="M49"/>
</calcChain>
</file>

<file path=xl/comments1.xml><?xml version="1.0" encoding="utf-8"?>
<comments xmlns="http://schemas.openxmlformats.org/spreadsheetml/2006/main">
  <authors>
    <author>Autor</author>
  </authors>
  <commentList>
    <comment ref="E22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Cobre: 0,017241
Alumínio: 0,028264</t>
        </r>
      </text>
    </comment>
    <comment ref="E23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Cobre: 0,00393
Alumínio: 0,00403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E23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Cobre: 0,017241
Alumínio: 0,028264</t>
        </r>
      </text>
    </comment>
    <comment ref="E24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Cobre: 0,00393
Alumínio: 0,00403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E22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Cobre: 0,017241
Alumínio: 0,028264</t>
        </r>
      </text>
    </comment>
    <comment ref="E23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Cobre: 0,00393
Alumínio: 0,00403</t>
        </r>
      </text>
    </comment>
  </commentList>
</comments>
</file>

<file path=xl/sharedStrings.xml><?xml version="1.0" encoding="utf-8"?>
<sst xmlns="http://schemas.openxmlformats.org/spreadsheetml/2006/main" count="2214" uniqueCount="1014">
  <si>
    <t>N</t>
  </si>
  <si>
    <t>TOTAL</t>
  </si>
  <si>
    <t>kVA</t>
  </si>
  <si>
    <t>-</t>
  </si>
  <si>
    <t>Designação</t>
  </si>
  <si>
    <t>Obs</t>
  </si>
  <si>
    <t>Ku</t>
  </si>
  <si>
    <t>Ks</t>
  </si>
  <si>
    <t>Pu (kW)</t>
  </si>
  <si>
    <t>Qu (kVAr)</t>
  </si>
  <si>
    <t>Tomadas</t>
  </si>
  <si>
    <t>3x(10x16)</t>
  </si>
  <si>
    <t>Aquecimento</t>
  </si>
  <si>
    <t>12x1kW</t>
  </si>
  <si>
    <t>Iluminação</t>
  </si>
  <si>
    <r>
      <t>cos</t>
    </r>
    <r>
      <rPr>
        <sz val="11"/>
        <color theme="1"/>
        <rFont val="Symbol"/>
        <family val="1"/>
        <charset val="2"/>
      </rPr>
      <t xml:space="preserve"> j</t>
    </r>
  </si>
  <si>
    <t>Pinst (kW)</t>
  </si>
  <si>
    <t>BALANÇO DE POTÊNCIA MONOFÁSICO</t>
  </si>
  <si>
    <t>Escritório</t>
  </si>
  <si>
    <t>Balanço de potência industrial</t>
  </si>
  <si>
    <t>6x16lum
(2x36W)+25%</t>
  </si>
  <si>
    <t>BALANÇO DE POTÊNCIA TRIFÁSICO</t>
  </si>
  <si>
    <t>UPS</t>
  </si>
  <si>
    <t>V</t>
  </si>
  <si>
    <t xml:space="preserve">Us = </t>
  </si>
  <si>
    <t>6 kW</t>
  </si>
  <si>
    <t>Uc =</t>
  </si>
  <si>
    <t>Iamont=18A</t>
  </si>
  <si>
    <t>Considerando as cargas das saídas monofásicas repartidas sobre as 3 fases de forma equilibrada na saída do transformador.</t>
  </si>
  <si>
    <t>Qtotal (kVAr)</t>
  </si>
  <si>
    <t>Ptotal (kW)</t>
  </si>
  <si>
    <t>Stotal (kVA)</t>
  </si>
  <si>
    <t>Estação de bombagem</t>
  </si>
  <si>
    <t>Motor</t>
  </si>
  <si>
    <t>M1</t>
  </si>
  <si>
    <t>M2</t>
  </si>
  <si>
    <t>M3</t>
  </si>
  <si>
    <t>Pn (kW)</t>
  </si>
  <si>
    <t>h</t>
  </si>
  <si>
    <t>P (kW)</t>
  </si>
  <si>
    <t>Q (kVAr)</t>
  </si>
  <si>
    <t>S (kVAr)</t>
  </si>
  <si>
    <t xml:space="preserve">Ib (A) </t>
  </si>
  <si>
    <t>Ponte rolante</t>
  </si>
  <si>
    <t>Sem perdas</t>
  </si>
  <si>
    <t>Com perdas</t>
  </si>
  <si>
    <t>Oficina</t>
  </si>
  <si>
    <t>Carga</t>
  </si>
  <si>
    <t>Saída</t>
  </si>
  <si>
    <t>Extrator</t>
  </si>
  <si>
    <t>Q (kW)</t>
  </si>
  <si>
    <t xml:space="preserve">TOTAL (QGBT) </t>
  </si>
  <si>
    <t>Saída 3 - Escritório</t>
  </si>
  <si>
    <t>Saída 4 - Estação de bombagem</t>
  </si>
  <si>
    <t>Saída 5 - Ventilador - extrator</t>
  </si>
  <si>
    <t>Saída 6 - Ponte rolante</t>
  </si>
  <si>
    <t>Saída 7 - Oficina</t>
  </si>
  <si>
    <t>In</t>
  </si>
  <si>
    <t>S (kVA)</t>
  </si>
  <si>
    <t>In (A)</t>
  </si>
  <si>
    <t>Sn (kVA)</t>
  </si>
  <si>
    <t>QGBT</t>
  </si>
  <si>
    <t>Reserva</t>
  </si>
  <si>
    <t>Sc (kVA)</t>
  </si>
  <si>
    <t>Ib (A)</t>
  </si>
  <si>
    <t>u</t>
  </si>
  <si>
    <t>b</t>
  </si>
  <si>
    <t>mono, tri?</t>
  </si>
  <si>
    <t>Queda de tensão</t>
  </si>
  <si>
    <t>Sistema</t>
  </si>
  <si>
    <t>r1</t>
  </si>
  <si>
    <t>Resistividade</t>
  </si>
  <si>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.mm2/m</t>
    </r>
  </si>
  <si>
    <t>Comprimento</t>
  </si>
  <si>
    <t>L</t>
  </si>
  <si>
    <t>m</t>
  </si>
  <si>
    <t>Secção</t>
  </si>
  <si>
    <t>mm2</t>
  </si>
  <si>
    <t>S</t>
  </si>
  <si>
    <t>Fator de potência</t>
  </si>
  <si>
    <r>
      <t xml:space="preserve">cos </t>
    </r>
    <r>
      <rPr>
        <sz val="11"/>
        <color theme="1"/>
        <rFont val="Symbol"/>
        <family val="1"/>
        <charset val="2"/>
      </rPr>
      <t>j</t>
    </r>
  </si>
  <si>
    <t>Reatância linear</t>
  </si>
  <si>
    <t>l</t>
  </si>
  <si>
    <r>
      <t>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/m</t>
    </r>
  </si>
  <si>
    <t xml:space="preserve">Corrente de serviço </t>
  </si>
  <si>
    <t>IB</t>
  </si>
  <si>
    <t>A</t>
  </si>
  <si>
    <t>Trifásico equilibrado</t>
  </si>
  <si>
    <t xml:space="preserve">Monofásico ou trifásico desequilibrado </t>
  </si>
  <si>
    <t>Cobre</t>
  </si>
  <si>
    <t>Alumínio</t>
  </si>
  <si>
    <t>1. Queda de tensão da saída 5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</si>
  <si>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>u</t>
    </r>
  </si>
  <si>
    <t>%</t>
  </si>
  <si>
    <t>Outros</t>
  </si>
  <si>
    <t xml:space="preserve">Alimentação BT </t>
  </si>
  <si>
    <t xml:space="preserve">Alimentação MT/BT </t>
  </si>
  <si>
    <t xml:space="preserve">Tensão simples </t>
  </si>
  <si>
    <t>U</t>
  </si>
  <si>
    <t>Quadro 52O</t>
  </si>
  <si>
    <t>Fusível gG</t>
  </si>
  <si>
    <t>LSVAV 4x95 mm2</t>
  </si>
  <si>
    <t>Isolamento</t>
  </si>
  <si>
    <t>PVC</t>
  </si>
  <si>
    <t>Método de referência</t>
  </si>
  <si>
    <t>Anexo IIB</t>
  </si>
  <si>
    <t>Quadro 52H</t>
  </si>
  <si>
    <t>D</t>
  </si>
  <si>
    <t>Corrente admissível</t>
  </si>
  <si>
    <t>Iz</t>
  </si>
  <si>
    <t>Fator de correção 52-D1</t>
  </si>
  <si>
    <t>Fator de correção 52-D2</t>
  </si>
  <si>
    <t>Fator de correção 52-E1</t>
  </si>
  <si>
    <t>Fator de correção 52-E2</t>
  </si>
  <si>
    <t>Fator de correção 52-E3</t>
  </si>
  <si>
    <t>Fator de correção 52-E4</t>
  </si>
  <si>
    <t>Fator de correção 52-E5</t>
  </si>
  <si>
    <t>k2</t>
  </si>
  <si>
    <t>Quadro 52-D1</t>
  </si>
  <si>
    <t>Quadro 52-D2</t>
  </si>
  <si>
    <t>Quadro 52-E1</t>
  </si>
  <si>
    <t>Quadro 52-E2</t>
  </si>
  <si>
    <t>Quadro 52-E3</t>
  </si>
  <si>
    <t>Quadro 52-E4</t>
  </si>
  <si>
    <t>Quadro 52-E5</t>
  </si>
  <si>
    <t>Condutores carregados</t>
  </si>
  <si>
    <t>Quadro 52-C30</t>
  </si>
  <si>
    <t>Condutor</t>
  </si>
  <si>
    <t>Fator de correção total</t>
  </si>
  <si>
    <t xml:space="preserve">Corrente admissível corrigida </t>
  </si>
  <si>
    <t>cond</t>
  </si>
  <si>
    <t>B</t>
  </si>
  <si>
    <t>B2</t>
  </si>
  <si>
    <t>A2</t>
  </si>
  <si>
    <t>C</t>
  </si>
  <si>
    <t>E</t>
  </si>
  <si>
    <t>F</t>
  </si>
  <si>
    <t>G</t>
  </si>
  <si>
    <t>I'z</t>
  </si>
  <si>
    <t xml:space="preserve">Corrente estipulada do fusível </t>
  </si>
  <si>
    <t>?</t>
  </si>
  <si>
    <t>In &lt;= I'z</t>
  </si>
  <si>
    <t>Condição In &lt;= I'z?</t>
  </si>
  <si>
    <t>MR</t>
  </si>
  <si>
    <t>Condição I2 &lt;= 1.45.I'z</t>
  </si>
  <si>
    <t>I2 &lt;= 1.45.I'z</t>
  </si>
  <si>
    <t xml:space="preserve">Corrente convencional de funcionamento </t>
  </si>
  <si>
    <t>I2</t>
  </si>
  <si>
    <t xml:space="preserve">Disjuntor modular </t>
  </si>
  <si>
    <t xml:space="preserve">Disjuntor outros </t>
  </si>
  <si>
    <t xml:space="preserve">Fusível (In &lt;= 4 A) </t>
  </si>
  <si>
    <t xml:space="preserve">Fusível (4 &lt; In&lt; 16 A) </t>
  </si>
  <si>
    <t xml:space="preserve">Fusível (In &gt;= 16 A) </t>
  </si>
  <si>
    <t>Relação entre I2 e In</t>
  </si>
  <si>
    <t>FC1</t>
  </si>
  <si>
    <t>FC2</t>
  </si>
  <si>
    <t>FC3</t>
  </si>
  <si>
    <t>FC4</t>
  </si>
  <si>
    <t>FC5</t>
  </si>
  <si>
    <t>FC6</t>
  </si>
  <si>
    <t>FC7</t>
  </si>
  <si>
    <t>FC.total</t>
  </si>
  <si>
    <t>1,45xI'z</t>
  </si>
  <si>
    <t xml:space="preserve">Valor limite térmico da canalização </t>
  </si>
  <si>
    <t>RESPOSTA:</t>
  </si>
  <si>
    <t>2. Intensidade estipulada de fusível gG</t>
  </si>
  <si>
    <t xml:space="preserve">3. Seções mínimas </t>
  </si>
  <si>
    <t>C1</t>
  </si>
  <si>
    <t>C2</t>
  </si>
  <si>
    <t>C3</t>
  </si>
  <si>
    <t>C4</t>
  </si>
  <si>
    <t>C5</t>
  </si>
  <si>
    <t>C6</t>
  </si>
  <si>
    <t>C7</t>
  </si>
  <si>
    <t>C10</t>
  </si>
  <si>
    <t>C41</t>
  </si>
  <si>
    <t>C42</t>
  </si>
  <si>
    <t>C43</t>
  </si>
  <si>
    <t>Multi condutor, Cu, XLPE, só
Em caleira fechada, T=30°C</t>
  </si>
  <si>
    <t>CABO</t>
  </si>
  <si>
    <t>MODO DE COLOCAÇÃO</t>
  </si>
  <si>
    <t>Multi condutor, Cu, XLPE, só 
suspenso, T=30°C</t>
  </si>
  <si>
    <t>Multi condutor Cu, XLPE,  em 
conduta enterrada,solo húm., T=25°C</t>
  </si>
  <si>
    <t>Mono condutor, Cu, XLPE, sobre 
Escadas de cabos com 2 outros 
circuitos, T=40°C</t>
  </si>
  <si>
    <t>Método de Referência</t>
  </si>
  <si>
    <t>FC 52-D1</t>
  </si>
  <si>
    <t>FC 52-D2</t>
  </si>
  <si>
    <t>FC 52-E1</t>
  </si>
  <si>
    <t>FC 52-E2</t>
  </si>
  <si>
    <t>FC 52-E6</t>
  </si>
  <si>
    <t>FC.t</t>
  </si>
  <si>
    <t>IB
(A)</t>
  </si>
  <si>
    <t>In
(A)</t>
  </si>
  <si>
    <t>Iz.min
(A)</t>
  </si>
  <si>
    <t>Iz
(A)</t>
  </si>
  <si>
    <t>Sfase
(mm2)</t>
  </si>
  <si>
    <t>IB (A)</t>
  </si>
  <si>
    <t>Ib(A)</t>
  </si>
  <si>
    <t>Mono condutores, Cu, XLPE, 
Colocação em trevo, só em caminho 
de cabos perfurados,T=35°C</t>
  </si>
  <si>
    <t>Quadro 52-C</t>
  </si>
  <si>
    <t>C11</t>
  </si>
  <si>
    <t>Io</t>
  </si>
  <si>
    <t>Ir</t>
  </si>
  <si>
    <t>Regulações disparador eletrónico</t>
  </si>
  <si>
    <t>Regulaç.</t>
  </si>
  <si>
    <t>Ir
(A)</t>
  </si>
  <si>
    <t>C30</t>
  </si>
  <si>
    <t>Iz.min=Ir/FC.t</t>
  </si>
  <si>
    <t>monocondutor, Al, PVC, em trevo, só sobre 
caminho de cabo perfurado, T=30°C</t>
  </si>
  <si>
    <t>2x150</t>
  </si>
  <si>
    <t>3 circuitos, 
cabos multi condutores, Cu, 
PVC, caminho de cabo perf, T=30°C</t>
  </si>
  <si>
    <t>C9</t>
  </si>
  <si>
    <t>4. Queda de tensão</t>
  </si>
  <si>
    <t>Cabo</t>
  </si>
  <si>
    <t>Queda de tensão (antes)</t>
  </si>
  <si>
    <t>Nova Secção (mm2)</t>
  </si>
  <si>
    <t>Queda de tensão (depois)</t>
  </si>
  <si>
    <t>Fusível</t>
  </si>
  <si>
    <t>Dados Máquina</t>
  </si>
  <si>
    <t xml:space="preserve">Potência de serviço </t>
  </si>
  <si>
    <t>kW</t>
  </si>
  <si>
    <t>Factor de simultaneidade</t>
  </si>
  <si>
    <t xml:space="preserve">Factor de potência </t>
  </si>
  <si>
    <t>Dados Rede</t>
  </si>
  <si>
    <t>Tensão composta</t>
  </si>
  <si>
    <t>Ucc, transformador a montante</t>
  </si>
  <si>
    <t>Potência, transformador a montante</t>
  </si>
  <si>
    <t>kA</t>
  </si>
  <si>
    <t xml:space="preserve">Regime de neutro </t>
  </si>
  <si>
    <t>TN-C</t>
  </si>
  <si>
    <t>Dados cabo</t>
  </si>
  <si>
    <t xml:space="preserve">Tipo de cabo </t>
  </si>
  <si>
    <t>XV</t>
  </si>
  <si>
    <t>Tipo de material condutor</t>
  </si>
  <si>
    <t>Resistividade do material condutor a 20 ºC</t>
  </si>
  <si>
    <r>
      <t>W</t>
    </r>
    <r>
      <rPr>
        <sz val="10"/>
        <rFont val="Arial"/>
        <family val="2"/>
      </rPr>
      <t>.mm2/m</t>
    </r>
  </si>
  <si>
    <t>Anexo VI</t>
  </si>
  <si>
    <t>Coeficiente de variação de resistividade a 20 ºC</t>
  </si>
  <si>
    <t>K-1</t>
  </si>
  <si>
    <t xml:space="preserve">Temperatura máxima de funcionamento </t>
  </si>
  <si>
    <t>ºC</t>
  </si>
  <si>
    <t>Quadro 52A</t>
  </si>
  <si>
    <t xml:space="preserve">Isolamento </t>
  </si>
  <si>
    <t>XLPE</t>
  </si>
  <si>
    <t xml:space="preserve">k - constante do isolamento cabo </t>
  </si>
  <si>
    <t>Secção 434</t>
  </si>
  <si>
    <t>Polaridade cabo</t>
  </si>
  <si>
    <t>Monocondutor</t>
  </si>
  <si>
    <t>Modo instalação</t>
  </si>
  <si>
    <t>Caminho cabos perf.</t>
  </si>
  <si>
    <t>Tipo de colocação</t>
  </si>
  <si>
    <t>triângulo</t>
  </si>
  <si>
    <t xml:space="preserve">Secção condutor PEN </t>
  </si>
  <si>
    <t>Igual ao da fase</t>
  </si>
  <si>
    <t xml:space="preserve">Agrupamento de cabos </t>
  </si>
  <si>
    <t>Dados bioclimáticos</t>
  </si>
  <si>
    <t>Temperatura ambiente</t>
  </si>
  <si>
    <t xml:space="preserve">Temperatura do solo </t>
  </si>
  <si>
    <t>Resistividade térmica terreno</t>
  </si>
  <si>
    <t>K.m/W</t>
  </si>
  <si>
    <t xml:space="preserve">Referência do modo de instalação </t>
  </si>
  <si>
    <t xml:space="preserve">Método de referência do modo de instalação </t>
  </si>
  <si>
    <t xml:space="preserve">Factores de correcção </t>
  </si>
  <si>
    <t>Função da temperatura ambiente</t>
  </si>
  <si>
    <t>Agrupamento de cabos monocondutores</t>
  </si>
  <si>
    <t>Factor de correcção total</t>
  </si>
  <si>
    <t>Secção do cabo (fase)</t>
  </si>
  <si>
    <t>Quadro 52-C11</t>
  </si>
  <si>
    <t>Secção do cabo (neutro)</t>
  </si>
  <si>
    <t>Quadro 54F</t>
  </si>
  <si>
    <t xml:space="preserve">I'z - Corrente máxima admissível sem correcção </t>
  </si>
  <si>
    <t xml:space="preserve">Iz - Corrente máxima admissível com correcção </t>
  </si>
  <si>
    <t xml:space="preserve">1,45.Iz - Fadiga térmica </t>
  </si>
  <si>
    <t>Fusível / Disjuntor</t>
  </si>
  <si>
    <t xml:space="preserve">In - Calibre </t>
  </si>
  <si>
    <t xml:space="preserve">Ir - Regulação térmica </t>
  </si>
  <si>
    <t>Im - Regulação magnética</t>
  </si>
  <si>
    <t xml:space="preserve">I2 - Corrente de funcionamento </t>
  </si>
  <si>
    <t>Ics - poder de corte em serviço</t>
  </si>
  <si>
    <t xml:space="preserve">Nível de disparo de protecção térmica </t>
  </si>
  <si>
    <t>Protecção contra sobrecargas</t>
  </si>
  <si>
    <t>Condição:  IB &lt;= In</t>
  </si>
  <si>
    <t>Condição:  In &lt;= Iz</t>
  </si>
  <si>
    <t>Condição:  I2 &lt;= 1,45.Iz</t>
  </si>
  <si>
    <t xml:space="preserve">Protecção contra curto-circuitos </t>
  </si>
  <si>
    <t>Resistividade material condutor (temp. máxima)</t>
  </si>
  <si>
    <t>Tempo máximo de curto-circuito</t>
  </si>
  <si>
    <t>s</t>
  </si>
  <si>
    <t>I / Ir</t>
  </si>
  <si>
    <t xml:space="preserve">tft - tempo de fadiga térmica </t>
  </si>
  <si>
    <t>tc - tempo de corte para I / Ir</t>
  </si>
  <si>
    <t>Curva fabricante</t>
  </si>
  <si>
    <t>Condição:  Icc.max &lt;= Ics</t>
  </si>
  <si>
    <t xml:space="preserve">Condição:  tc &lt; tft </t>
  </si>
  <si>
    <t xml:space="preserve">Condição:  tc &lt; 5 s </t>
  </si>
  <si>
    <t xml:space="preserve">Queda de tensão </t>
  </si>
  <si>
    <r>
      <t>D</t>
    </r>
    <r>
      <rPr>
        <sz val="10"/>
        <rFont val="Arial"/>
        <family val="2"/>
      </rPr>
      <t>u.max</t>
    </r>
  </si>
  <si>
    <t xml:space="preserve">u - queda de tensão absoluta </t>
  </si>
  <si>
    <r>
      <t>D</t>
    </r>
    <r>
      <rPr>
        <sz val="10"/>
        <rFont val="Arial"/>
        <family val="2"/>
      </rPr>
      <t>u - queda de tensão percentual</t>
    </r>
  </si>
  <si>
    <r>
      <t xml:space="preserve">Condição: 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 xml:space="preserve">u &lt;=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u.max</t>
    </r>
  </si>
  <si>
    <t>Protecção de pessoas</t>
  </si>
  <si>
    <t xml:space="preserve">Zs - impedância da malha de defeito </t>
  </si>
  <si>
    <t>ta - tempo máximo de actuação protecção</t>
  </si>
  <si>
    <t>Ia - Corrente de funcionamento para ta</t>
  </si>
  <si>
    <t>Zs.Ia - Condição de protecção TN</t>
  </si>
  <si>
    <t>Condição:  Zs.Ia &lt;= U0</t>
  </si>
  <si>
    <t>Potência instalada</t>
  </si>
  <si>
    <t>Disjuntor</t>
  </si>
  <si>
    <t>VAV</t>
  </si>
  <si>
    <t>Quadro 52A [523]</t>
  </si>
  <si>
    <t>Multicondutor</t>
  </si>
  <si>
    <t>Fixados ao tecto</t>
  </si>
  <si>
    <t>Resumo</t>
  </si>
  <si>
    <t>Agrupamento de cabos</t>
  </si>
  <si>
    <t>Factor multiplicativo I2</t>
  </si>
  <si>
    <t>Disj. Industrial</t>
  </si>
  <si>
    <t>Fabricante</t>
  </si>
  <si>
    <t>1.ª iteração</t>
  </si>
  <si>
    <t>2.ª iteração</t>
  </si>
  <si>
    <t>3.ª iteração</t>
  </si>
  <si>
    <t>Quadro 52-C4</t>
  </si>
  <si>
    <t>XV4x16 0,6/1kV</t>
  </si>
  <si>
    <t>I2 &lt;= 1,45.I'z?</t>
  </si>
  <si>
    <t>IB &lt;= Ir?</t>
  </si>
  <si>
    <t>Ir &lt;= I'z?</t>
  </si>
  <si>
    <t>Rede a montante</t>
  </si>
  <si>
    <t>Resistência</t>
  </si>
  <si>
    <r>
      <t>m</t>
    </r>
    <r>
      <rPr>
        <sz val="11"/>
        <color theme="1"/>
        <rFont val="Symbol"/>
        <family val="1"/>
        <charset val="2"/>
      </rPr>
      <t>W</t>
    </r>
  </si>
  <si>
    <t>Za</t>
  </si>
  <si>
    <r>
      <t>Valores em m</t>
    </r>
    <r>
      <rPr>
        <sz val="11"/>
        <color theme="1"/>
        <rFont val="Symbol"/>
        <family val="1"/>
        <charset val="2"/>
      </rPr>
      <t>W</t>
    </r>
  </si>
  <si>
    <t>Reatância</t>
  </si>
  <si>
    <t>Impedância</t>
  </si>
  <si>
    <t>Zt</t>
  </si>
  <si>
    <t>Transformador</t>
  </si>
  <si>
    <t>Ra =  0,1.Xa</t>
  </si>
  <si>
    <t>Xa = 0,995.Za</t>
  </si>
  <si>
    <t>Za = (m.Un)^2/Scc</t>
  </si>
  <si>
    <t>Un</t>
  </si>
  <si>
    <t>Scc</t>
  </si>
  <si>
    <t>MVA</t>
  </si>
  <si>
    <t>R.acum</t>
  </si>
  <si>
    <t>X.acum</t>
  </si>
  <si>
    <t>Z.acum</t>
  </si>
  <si>
    <t>Sn</t>
  </si>
  <si>
    <t>Ucc</t>
  </si>
  <si>
    <t>Rt = 0,31.Zt</t>
  </si>
  <si>
    <t>Xt = 0,95.Zt</t>
  </si>
  <si>
    <t>Rd = 0</t>
  </si>
  <si>
    <r>
      <t>Xd = 
0,15 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/pólo</t>
    </r>
  </si>
  <si>
    <t>Zt = 
(mUn)^2.Ucc/(Sn.100)</t>
  </si>
  <si>
    <t>Zcabo1</t>
  </si>
  <si>
    <r>
      <t>r</t>
    </r>
    <r>
      <rPr>
        <sz val="11"/>
        <color theme="1"/>
        <rFont val="Arial"/>
        <family val="2"/>
      </rPr>
      <t>cu</t>
    </r>
  </si>
  <si>
    <r>
      <t>r</t>
    </r>
    <r>
      <rPr>
        <sz val="11"/>
        <color theme="1"/>
        <rFont val="Arial"/>
        <family val="2"/>
      </rPr>
      <t>al</t>
    </r>
  </si>
  <si>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>.mm2/m</t>
    </r>
  </si>
  <si>
    <t>L.C1</t>
  </si>
  <si>
    <t>S.C1</t>
  </si>
  <si>
    <r>
      <t xml:space="preserve">Rc1 = </t>
    </r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</rPr>
      <t>.L/S</t>
    </r>
  </si>
  <si>
    <t>Zc1 = 
raizq(Rc1^2+Xc1^2)</t>
  </si>
  <si>
    <t>Xc1 = 0,08.L</t>
  </si>
  <si>
    <t>Zd = Xd</t>
  </si>
  <si>
    <t>Zb</t>
  </si>
  <si>
    <t>Barramento</t>
  </si>
  <si>
    <r>
      <t xml:space="preserve">Rb = </t>
    </r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</rPr>
      <t>.L/S</t>
    </r>
  </si>
  <si>
    <r>
      <t>Xb = 
0,15 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/m</t>
    </r>
  </si>
  <si>
    <t>Zb = 
raizq(Rb^2+Xb^2)</t>
  </si>
  <si>
    <t>L.b</t>
  </si>
  <si>
    <t>S.b</t>
  </si>
  <si>
    <t>Zd1</t>
  </si>
  <si>
    <t>Cabo QGBT-D1</t>
  </si>
  <si>
    <t>Disjuntor1</t>
  </si>
  <si>
    <t>Zd2</t>
  </si>
  <si>
    <t>Disjuntor2</t>
  </si>
  <si>
    <t>Zcabo2</t>
  </si>
  <si>
    <t>L.C2</t>
  </si>
  <si>
    <t>S.C2</t>
  </si>
  <si>
    <t>Ik3</t>
  </si>
  <si>
    <t>Cmax</t>
  </si>
  <si>
    <t>XLPE, EPR</t>
  </si>
  <si>
    <t>4x150</t>
  </si>
  <si>
    <t>Queda de tensão máxima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</si>
  <si>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u.max</t>
    </r>
  </si>
  <si>
    <t>1. -Fatores de Influências Externas</t>
  </si>
  <si>
    <t>Ordem</t>
  </si>
  <si>
    <t>1.ª Letra</t>
  </si>
  <si>
    <t>Categoria Geral</t>
  </si>
  <si>
    <t>2.ª Letra</t>
  </si>
  <si>
    <t>Natureza da Influência</t>
  </si>
  <si>
    <t>Algarismo</t>
  </si>
  <si>
    <t>Classe da Influência</t>
  </si>
  <si>
    <t>Estrutura do Código</t>
  </si>
  <si>
    <t>Situação Normal</t>
  </si>
  <si>
    <t>Designação da Influência</t>
  </si>
  <si>
    <t>A
(Ambientes)</t>
  </si>
  <si>
    <t>H</t>
  </si>
  <si>
    <t>J</t>
  </si>
  <si>
    <t>K</t>
  </si>
  <si>
    <t>M</t>
  </si>
  <si>
    <t>P</t>
  </si>
  <si>
    <t>Q</t>
  </si>
  <si>
    <t>R</t>
  </si>
  <si>
    <t>1 a 8</t>
  </si>
  <si>
    <t>1 a 2</t>
  </si>
  <si>
    <t>1 a 6</t>
  </si>
  <si>
    <t>1 a 4</t>
  </si>
  <si>
    <t>1 a 3</t>
  </si>
  <si>
    <t>Altitude</t>
  </si>
  <si>
    <t>Ações mecânicas (impactos)</t>
  </si>
  <si>
    <t>Ações mecânicas (vibrações)</t>
  </si>
  <si>
    <t>Ações mecânicas (outros)</t>
  </si>
  <si>
    <t>Presença da flora e bolores</t>
  </si>
  <si>
    <t>Influências electromagnéticas, electrostáticas ou ionizantes</t>
  </si>
  <si>
    <t>Presença de fauna</t>
  </si>
  <si>
    <t>Radiações solares</t>
  </si>
  <si>
    <t>Efeitos sísmicos</t>
  </si>
  <si>
    <t>Descargas atmosféricas, nível cerâunico (N)</t>
  </si>
  <si>
    <t>Movimentos do ar</t>
  </si>
  <si>
    <t>Vento</t>
  </si>
  <si>
    <t>B
(Utilizações)</t>
  </si>
  <si>
    <t>1 a 5</t>
  </si>
  <si>
    <t>Competência das pessoas</t>
  </si>
  <si>
    <t>Resistência eléctrica do corpo humano</t>
  </si>
  <si>
    <t>Contacto das pessoas com o potencial da terra</t>
  </si>
  <si>
    <t>Evacuação das pessoas em caso de emergência</t>
  </si>
  <si>
    <t>Natureza dos produtos tratados ou armazenados</t>
  </si>
  <si>
    <t>C
(Construção dos Edifícios)</t>
  </si>
  <si>
    <t>Materiais de construção</t>
  </si>
  <si>
    <t>Estrutura dos edifícios</t>
  </si>
  <si>
    <t>Presença de corpos sólidos (estranhos)</t>
  </si>
  <si>
    <t>Presença de corpos e substâncias corrosivas ou poluentes</t>
  </si>
  <si>
    <t>Presença de água</t>
  </si>
  <si>
    <t>Condições climáticas</t>
  </si>
  <si>
    <t>2. -Classificação dos Fatores de Influências Externas de uma VIVENDA</t>
  </si>
  <si>
    <t>ZONA</t>
  </si>
  <si>
    <t>DEPENDÊNCIA</t>
  </si>
  <si>
    <t>CLASSIFICAÇÃO</t>
  </si>
  <si>
    <t>Jardim da frente</t>
  </si>
  <si>
    <t>IP</t>
  </si>
  <si>
    <t>IK</t>
  </si>
  <si>
    <t>Habitação</t>
  </si>
  <si>
    <t>Hall de entrada</t>
  </si>
  <si>
    <t>Quartos</t>
  </si>
  <si>
    <t>Anexo</t>
  </si>
  <si>
    <t>Arrumos</t>
  </si>
  <si>
    <t>Jardim traseiro</t>
  </si>
  <si>
    <t>Corredores</t>
  </si>
  <si>
    <t>Escritórios</t>
  </si>
  <si>
    <t>Cozinhas</t>
  </si>
  <si>
    <t>Salas de jantar</t>
  </si>
  <si>
    <t>Salas de estar</t>
  </si>
  <si>
    <t>Alpendres</t>
  </si>
  <si>
    <t>Garagens (h&gt;2m)</t>
  </si>
  <si>
    <t>Garagens (h&lt;=2m)</t>
  </si>
  <si>
    <t>Lavandarias</t>
  </si>
  <si>
    <t>Casas das máquinas</t>
  </si>
  <si>
    <t>Churrasqueiras</t>
  </si>
  <si>
    <t>AA4 + AB4 + BC2 + XX1</t>
  </si>
  <si>
    <t>IP 20</t>
  </si>
  <si>
    <t>Varandas cobertas</t>
  </si>
  <si>
    <t>Varandas descobertas</t>
  </si>
  <si>
    <t>Casas de Banho (Volume 0)</t>
  </si>
  <si>
    <t>Casas de Banho (Volume 1)</t>
  </si>
  <si>
    <t>Casas de Banho (Volume 2)</t>
  </si>
  <si>
    <t>Casas de Banho (Volume 3)</t>
  </si>
  <si>
    <t>IP 21</t>
  </si>
  <si>
    <t>IP 24</t>
  </si>
  <si>
    <t>IP 54</t>
  </si>
  <si>
    <t>IP 27</t>
  </si>
  <si>
    <t>IP 25</t>
  </si>
  <si>
    <t>AA4 + AB4 + BC2 + XX1 + AD2</t>
  </si>
  <si>
    <t>BC2 + XX1 + AA7 + AB7 + AD4 + AE4 + AL2 + AR2 + AS2</t>
  </si>
  <si>
    <t>AA4 + AB4 + XX1+ AD7 + BB3 + BC3</t>
  </si>
  <si>
    <t>AA4 + AB4 + XX1 + AD5 + BB3 + BC3</t>
  </si>
  <si>
    <t>AA4 + AB4 + XX1 + AD4 + BB3 + BC3</t>
  </si>
  <si>
    <t>AA4 + AB4 + XX1 + BB2 + BC3</t>
  </si>
  <si>
    <t>BC2 + XX1 + AA7 + AB7 + AD4 + AR2 + AS2</t>
  </si>
  <si>
    <t>BC2 + XX1 + AA8 + AB8 + AD5 + AN2 + AR2 + AS2</t>
  </si>
  <si>
    <t>IP 45</t>
  </si>
  <si>
    <t>Terraços descobertos</t>
  </si>
  <si>
    <t>BC2 + XX1 + AA8 + AB8 + AD5 + AE3 + AN2 + AQ3 + AR3 + AS3</t>
  </si>
  <si>
    <t>IP 40</t>
  </si>
  <si>
    <t>AA4 + AB4 + BC2 + XX1 + AE3 + AG3 + BE2</t>
  </si>
  <si>
    <t>IK 08</t>
  </si>
  <si>
    <t>AA4 + AB4 + BC2 + XX1 + AD2 + AE4</t>
  </si>
  <si>
    <t>IP 51</t>
  </si>
  <si>
    <t>AA4 + AB4 + BC2 + XX1 + BB2</t>
  </si>
  <si>
    <t>AA4 + AB4 + XX1 + AG2 + AH2 + BA4 + BC3</t>
  </si>
  <si>
    <t>IK 07</t>
  </si>
  <si>
    <t>XX1 + AA7 + AB7 + AD2 + BC3</t>
  </si>
  <si>
    <t>Balneários (Volume 0)</t>
  </si>
  <si>
    <t>Balneários (Volume 1)</t>
  </si>
  <si>
    <t>Balneários (Volume 2)</t>
  </si>
  <si>
    <t>Balneários (Volume 3)</t>
  </si>
  <si>
    <t>Piscina com ilum. (Volume 0)</t>
  </si>
  <si>
    <t>Piscina com ilum. (Volume 1)</t>
  </si>
  <si>
    <t>Piscina com ilum. (Volume 2)</t>
  </si>
  <si>
    <t>XX1 + AA8 + AB8 + AD8 + BB3 + BC3</t>
  </si>
  <si>
    <t>IP 28</t>
  </si>
  <si>
    <t>XX1 + AA8 + AB8 + AD5 + BB3 + BC3</t>
  </si>
  <si>
    <t>XX1 + AA8 + AB8 + AD4 + BB2 + BC3</t>
  </si>
  <si>
    <t>Lago com ilum. (Volume 0)</t>
  </si>
  <si>
    <t>Lago com ilum. (Volume 1)</t>
  </si>
  <si>
    <t>Lago com ilum. (Volume 2)</t>
  </si>
  <si>
    <r>
      <t xml:space="preserve">Rc2 = </t>
    </r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</rPr>
      <t>.L/S</t>
    </r>
  </si>
  <si>
    <t>Xc2 = 0,08.L</t>
  </si>
  <si>
    <t>Zc1 = 
raizq(Rc2^2+Xc2^2)</t>
  </si>
  <si>
    <t>Saída Q41</t>
  </si>
  <si>
    <t>Disjuntor4</t>
  </si>
  <si>
    <t>Cabo Q4-Q40</t>
  </si>
  <si>
    <t>Disjuntor41</t>
  </si>
  <si>
    <t>Cabo Q40-Q41</t>
  </si>
  <si>
    <t>L.C3</t>
  </si>
  <si>
    <t>S.C3</t>
  </si>
  <si>
    <t>1//2</t>
  </si>
  <si>
    <t>d1//d2</t>
  </si>
  <si>
    <r>
      <t xml:space="preserve">Rc1 = </t>
    </r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</rPr>
      <t>.L/S/2</t>
    </r>
  </si>
  <si>
    <t>2x100x10, 5m</t>
  </si>
  <si>
    <t>Zd41</t>
  </si>
  <si>
    <t>Zd4</t>
  </si>
  <si>
    <t>Zcabo4</t>
  </si>
  <si>
    <t>Zcabo41</t>
  </si>
  <si>
    <t>Zb1</t>
  </si>
  <si>
    <t>Barramento1</t>
  </si>
  <si>
    <t>Zb2</t>
  </si>
  <si>
    <t>Barramento2</t>
  </si>
  <si>
    <t>1x15x3, 3m</t>
  </si>
  <si>
    <t>L.b1</t>
  </si>
  <si>
    <t>S.b1</t>
  </si>
  <si>
    <t>L.b2</t>
  </si>
  <si>
    <t>S.b2</t>
  </si>
  <si>
    <t>Xc1 = 0,085.L</t>
  </si>
  <si>
    <r>
      <t xml:space="preserve">Rc4 = </t>
    </r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</rPr>
      <t>.L/S</t>
    </r>
  </si>
  <si>
    <t>Xc4 = 0,08.L</t>
  </si>
  <si>
    <t>Zc1 = 
raizq(Rc4^2+Xc4^2)</t>
  </si>
  <si>
    <t>Condutas enterradas</t>
  </si>
  <si>
    <t xml:space="preserve">Função da temperatura do solo </t>
  </si>
  <si>
    <t xml:space="preserve">Resistividade térmica do solo </t>
  </si>
  <si>
    <t>Quadro 52-E6</t>
  </si>
  <si>
    <t xml:space="preserve">Colocação dentro de tubo </t>
  </si>
  <si>
    <t>Iz_min - Corrente admissível mínima sem FC</t>
  </si>
  <si>
    <t>b, tipo de rede (1-trifásico equilibrado; 2 - outros)</t>
  </si>
  <si>
    <t>m, fator de carga em vazio</t>
  </si>
  <si>
    <t>Ik3.máx</t>
  </si>
  <si>
    <r>
      <rPr>
        <sz val="10"/>
        <rFont val="Arial"/>
        <family val="2"/>
      </rPr>
      <t>m</t>
    </r>
    <r>
      <rPr>
        <sz val="10"/>
        <rFont val="Symbol"/>
        <family val="1"/>
        <charset val="2"/>
      </rPr>
      <t>W</t>
    </r>
  </si>
  <si>
    <t>Xcabo - reatância do cabo</t>
  </si>
  <si>
    <r>
      <t>m</t>
    </r>
    <r>
      <rPr>
        <sz val="10"/>
        <rFont val="Symbol"/>
        <family val="1"/>
        <charset val="2"/>
      </rPr>
      <t>W</t>
    </r>
    <r>
      <rPr>
        <sz val="10"/>
        <rFont val="Arial"/>
        <family val="2"/>
      </rPr>
      <t>/m</t>
    </r>
  </si>
  <si>
    <r>
      <rPr>
        <sz val="10"/>
        <rFont val="Symbol"/>
        <family val="1"/>
        <charset val="2"/>
      </rPr>
      <t>l</t>
    </r>
    <r>
      <rPr>
        <sz val="10"/>
        <rFont val="Arial"/>
        <family val="2"/>
      </rPr>
      <t xml:space="preserve"> - Reatância linear do cabo</t>
    </r>
  </si>
  <si>
    <t>Rcabo1 - resistência do cabo (Ik1.min)</t>
  </si>
  <si>
    <t>Rcabo2 - resistência do cabo (Ik2.min)</t>
  </si>
  <si>
    <t xml:space="preserve">Cmin, fator de tensão mínimo </t>
  </si>
  <si>
    <t>Cmax, fator de tensão máximo</t>
  </si>
  <si>
    <t xml:space="preserve">Zcabo1 - Impedância do cabo (Ik1.min) </t>
  </si>
  <si>
    <t>Zcc1 - Impedância de curto-circuito equivalente (Ik1.min)</t>
  </si>
  <si>
    <t>Zcc2 - Impedância de curto-circuito equivalente (Ik2.min)</t>
  </si>
  <si>
    <t xml:space="preserve">Zcabo2 - Impedância do cabo (Ik2.min) </t>
  </si>
  <si>
    <t xml:space="preserve">Mínimo (Ik1.min.jusante ou Ik2.min.jusante) </t>
  </si>
  <si>
    <t xml:space="preserve">Zmont - Impedância da rede a montante </t>
  </si>
  <si>
    <t xml:space="preserve">Ik1.min - Corrente de curto-circuito mínima monofásica </t>
  </si>
  <si>
    <t xml:space="preserve">Ik2.min - Corrente de curto-circuito mínima bifásica </t>
  </si>
  <si>
    <t>Condição:  Ik3.max &lt;= Ics</t>
  </si>
  <si>
    <t>4 x XV 1x150 0,6/1kV</t>
  </si>
  <si>
    <t>Quadro 41A</t>
  </si>
  <si>
    <t>Iz_min - Corrente admissível mínima (Ir)</t>
  </si>
  <si>
    <t>In&gt;=16</t>
  </si>
  <si>
    <t>1.ª Iteração</t>
  </si>
  <si>
    <t>2.ª Iteração</t>
  </si>
  <si>
    <t>Fusível gG 160 A (x3) PDC 100 kA</t>
  </si>
  <si>
    <t>XV 4x70 0,6/1kV</t>
  </si>
  <si>
    <t>Saída Q3</t>
  </si>
  <si>
    <r>
      <t>m</t>
    </r>
    <r>
      <rPr>
        <b/>
        <sz val="11"/>
        <color theme="1"/>
        <rFont val="Symbol"/>
        <family val="1"/>
        <charset val="2"/>
      </rPr>
      <t>W</t>
    </r>
  </si>
  <si>
    <t>Zt1</t>
  </si>
  <si>
    <t>Zc1</t>
  </si>
  <si>
    <t>Zd3</t>
  </si>
  <si>
    <t>Zc3</t>
  </si>
  <si>
    <t>Zt3</t>
  </si>
  <si>
    <t>Zd31</t>
  </si>
  <si>
    <t>Zb3</t>
  </si>
  <si>
    <t>Disjuntor 3</t>
  </si>
  <si>
    <t>Cabo 3</t>
  </si>
  <si>
    <t>Transformador 3</t>
  </si>
  <si>
    <t>Disjuntor 31</t>
  </si>
  <si>
    <t>Barramento 3</t>
  </si>
  <si>
    <t>L3</t>
  </si>
  <si>
    <t>S3</t>
  </si>
  <si>
    <t>ucc3</t>
  </si>
  <si>
    <t>Sn3</t>
  </si>
  <si>
    <t>Sb3</t>
  </si>
  <si>
    <t>Lb3</t>
  </si>
  <si>
    <t>NSX250F 3P3D TM250D, I'r = 250 A; Im = 2.500 A</t>
  </si>
  <si>
    <t>NSX100H 3P3D TM25D; I'r = 25 A; Im = 300 A</t>
  </si>
  <si>
    <t>11A</t>
  </si>
  <si>
    <t>15.</t>
  </si>
  <si>
    <t>Spe.1</t>
  </si>
  <si>
    <t>I</t>
  </si>
  <si>
    <t>k</t>
  </si>
  <si>
    <t>t</t>
  </si>
  <si>
    <t>Sfase</t>
  </si>
  <si>
    <t>Spe.min</t>
  </si>
  <si>
    <t>[543.1.1]</t>
  </si>
  <si>
    <t>Spe.min.nor</t>
  </si>
  <si>
    <t>Spe.1.nor</t>
  </si>
  <si>
    <t>S.norm</t>
  </si>
  <si>
    <t>Tempo p/ disjuntor C1</t>
  </si>
  <si>
    <t>Tempo máximo p/ proteção MT</t>
  </si>
  <si>
    <t>16.</t>
  </si>
  <si>
    <t>IT - neutro distribuído</t>
  </si>
  <si>
    <t>m = 1</t>
  </si>
  <si>
    <t>UL = 50 V</t>
  </si>
  <si>
    <t>Imag = 10.Ir</t>
  </si>
  <si>
    <t>Intensidade de corrente Estipulada (In)</t>
  </si>
  <si>
    <t>Secção (S)</t>
  </si>
  <si>
    <t>cos phi</t>
  </si>
  <si>
    <t>7 e 8</t>
  </si>
  <si>
    <t>cos phi arr</t>
  </si>
  <si>
    <t>Rendi(%)</t>
  </si>
  <si>
    <t>Id/I</t>
  </si>
  <si>
    <t>IK 04</t>
  </si>
  <si>
    <t>Exemplo 1</t>
  </si>
  <si>
    <t>Tensão linha</t>
  </si>
  <si>
    <t>Ul</t>
  </si>
  <si>
    <t>Neutro impedante</t>
  </si>
  <si>
    <t>Resistência do neutro</t>
  </si>
  <si>
    <t>Rn</t>
  </si>
  <si>
    <t>W</t>
  </si>
  <si>
    <t>Reatância do neutro</t>
  </si>
  <si>
    <t>Xn</t>
  </si>
  <si>
    <t>Tempo disparo MT</t>
  </si>
  <si>
    <t xml:space="preserve">Resistividade do terreno </t>
  </si>
  <si>
    <t>r</t>
  </si>
  <si>
    <r>
      <t>W</t>
    </r>
    <r>
      <rPr>
        <sz val="11"/>
        <color theme="1"/>
        <rFont val="Arial"/>
        <family val="2"/>
      </rPr>
      <t>.m</t>
    </r>
  </si>
  <si>
    <t>Tensão isolamento BT</t>
  </si>
  <si>
    <t>Configuração</t>
  </si>
  <si>
    <t>70-40/5/42</t>
  </si>
  <si>
    <t>DADOS</t>
  </si>
  <si>
    <t>RESOLUÇÃO</t>
  </si>
  <si>
    <t>Kr</t>
  </si>
  <si>
    <t>Kp</t>
  </si>
  <si>
    <t>Kc</t>
  </si>
  <si>
    <t>Resistência elétrodos de terra</t>
  </si>
  <si>
    <t>Rt</t>
  </si>
  <si>
    <t>Corrente de defeito</t>
  </si>
  <si>
    <t>Id</t>
  </si>
  <si>
    <t>Tensão de defeito</t>
  </si>
  <si>
    <t>Ud</t>
  </si>
  <si>
    <t xml:space="preserve">Tensão de passo </t>
  </si>
  <si>
    <t xml:space="preserve">Tensão de passo admissível </t>
  </si>
  <si>
    <t>Up</t>
  </si>
  <si>
    <t>Upa</t>
  </si>
  <si>
    <t>tmin</t>
  </si>
  <si>
    <t>tmax</t>
  </si>
  <si>
    <t>n</t>
  </si>
  <si>
    <t>Vpa</t>
  </si>
  <si>
    <t>Valores admissíveis</t>
  </si>
  <si>
    <t xml:space="preserve">Resistividade superficial terremo do PT </t>
  </si>
  <si>
    <r>
      <t>r</t>
    </r>
    <r>
      <rPr>
        <sz val="11"/>
        <color theme="1"/>
        <rFont val="Arial"/>
        <family val="2"/>
      </rPr>
      <t>s</t>
    </r>
  </si>
  <si>
    <t>VALORES ADMISSÍVEIS</t>
  </si>
  <si>
    <t>Up(acc)</t>
  </si>
  <si>
    <t>Upa(acc)</t>
  </si>
  <si>
    <t>CONDIÇÕES</t>
  </si>
  <si>
    <t>Up &lt; Upa</t>
  </si>
  <si>
    <t>Up(acc) &lt; Upa(acc)</t>
  </si>
  <si>
    <t>Ud &lt; Ubt</t>
  </si>
  <si>
    <t>Ubt</t>
  </si>
  <si>
    <t>Dimensionamento Elétrodos de Terra PT</t>
  </si>
  <si>
    <t>Exemplo 2</t>
  </si>
  <si>
    <t xml:space="preserve">Corrente de defeito máxima (subestação) </t>
  </si>
  <si>
    <t>Id.max</t>
  </si>
  <si>
    <r>
      <t xml:space="preserve">Rt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Calibri"/>
        <family val="2"/>
      </rPr>
      <t xml:space="preserve"> 20 </t>
    </r>
    <r>
      <rPr>
        <sz val="11"/>
        <color theme="1"/>
        <rFont val="Symbol"/>
        <family val="1"/>
        <charset val="2"/>
      </rPr>
      <t>W</t>
    </r>
  </si>
  <si>
    <t>8/44</t>
  </si>
  <si>
    <t>Tensão de acesso e contacto</t>
  </si>
  <si>
    <t>Tensão de acesso e contacto admissível</t>
  </si>
  <si>
    <t>40-40/8/86</t>
  </si>
  <si>
    <t>Exemplo 3</t>
  </si>
  <si>
    <t>Dimensionamento de elétrodos de terra</t>
  </si>
  <si>
    <t>1 - Resistência de terra de proteção das massas do PT - Rp</t>
  </si>
  <si>
    <t>2 - Resistência de terra de serviço - Rb</t>
  </si>
  <si>
    <t>3 - Resistência de terra de proteção das  massas de utilização - Ra</t>
  </si>
  <si>
    <t>4 - Resistência de terra do para-raios - Rpr</t>
  </si>
  <si>
    <t>Quantidade</t>
  </si>
  <si>
    <r>
      <rPr>
        <b/>
        <sz val="11"/>
        <color theme="1"/>
        <rFont val="Symbol"/>
        <family val="1"/>
        <charset val="2"/>
      </rPr>
      <t>r</t>
    </r>
    <r>
      <rPr>
        <b/>
        <sz val="11"/>
        <color theme="1"/>
        <rFont val="Calibri"/>
        <family val="2"/>
      </rPr>
      <t xml:space="preserve"> (Ω.m)</t>
    </r>
  </si>
  <si>
    <t>L (m)</t>
  </si>
  <si>
    <t>un.</t>
  </si>
  <si>
    <t>Simulação visualpuc - descrição dos tipos de elétrodos</t>
  </si>
  <si>
    <t>…</t>
  </si>
  <si>
    <t>Varetas</t>
  </si>
  <si>
    <t>Estruturas de betão armado (anéis)</t>
  </si>
  <si>
    <t>Estruturas de betão armado (linhas)</t>
  </si>
  <si>
    <t>Fita de aço galvanizado 30x3,5 (perímetro)</t>
  </si>
  <si>
    <t>Pé-de-galo - Condutor em cobre nu 25 mm2</t>
  </si>
  <si>
    <r>
      <t xml:space="preserve">Pé-de-galo - Vareta em aço cobreado 250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>m</t>
    </r>
  </si>
  <si>
    <t>Pé-de-galo - Elétrodo de grafite</t>
  </si>
  <si>
    <t>Referir na memória descritiva: tipo de elétrodos, acessórios, ligadores especiais, soldaduras aluminotérmicas, quantidades, etc.</t>
  </si>
  <si>
    <t>Todos os valores: deverão ser revistos</t>
  </si>
  <si>
    <t xml:space="preserve">Mencionar que a terra do para-raios deverá ser interligada com a terra de proteção das massas do para-raios , ficando uma resistência de </t>
  </si>
  <si>
    <t>Secção dos condutores</t>
  </si>
  <si>
    <t>Diâmetro exterior (mm)</t>
  </si>
  <si>
    <t>Diâmetro nominal tubo VD (mm)</t>
  </si>
  <si>
    <t>VD</t>
  </si>
  <si>
    <t>Diâmetro nominal (mm)</t>
  </si>
  <si>
    <t>Secção utilizável (mm2)</t>
  </si>
  <si>
    <t>Secção exterior (mm2)</t>
  </si>
  <si>
    <t>Diâmetro nominal tubo ERM ou ERFE (mm)</t>
  </si>
  <si>
    <t>XZ1 (frt,zh) 3G1,5</t>
  </si>
  <si>
    <t>Exemplos</t>
  </si>
  <si>
    <t>XZ1 (frt,zh) 3G2,5</t>
  </si>
  <si>
    <t>XZ1 (frt,zh) 3G4</t>
  </si>
  <si>
    <t>XZ1 (frt,zh) 5G1,5</t>
  </si>
  <si>
    <t>XZ1 (frt,zh) 5G2,5</t>
  </si>
  <si>
    <t>XZ1 (frt,zh) 5G4</t>
  </si>
  <si>
    <t>XZ1 (frt,zh) 5G6</t>
  </si>
  <si>
    <t>XZ1 (frt,zh) 5G10</t>
  </si>
  <si>
    <t>XZ1 (frt,zh) 3 x 16 + 2G10</t>
  </si>
  <si>
    <t>XZ1 (frt,zh) 3 x 25 + 2G16</t>
  </si>
  <si>
    <t>XZ1 (frt,zh) 3 x 35 + 2G16</t>
  </si>
  <si>
    <t>XZ1 (frt,zh) 3 x 50 + 2G25</t>
  </si>
  <si>
    <t>XZ1 (frt,zh) 1X70</t>
  </si>
  <si>
    <t>XZ1 (frt,zh) 1X95</t>
  </si>
  <si>
    <t>XZ1 (frt,zh) 1X120</t>
  </si>
  <si>
    <t>XZ1 (frt,zh) 1X150</t>
  </si>
  <si>
    <t>XZ1 (frt,zh) 1X185</t>
  </si>
  <si>
    <t>3 x H07V-R 1x1,5</t>
  </si>
  <si>
    <t>5 x H07V-R 1x1,5</t>
  </si>
  <si>
    <t>3 x H07V-R 1x2,5</t>
  </si>
  <si>
    <t>5 x H07V-R 1x2,5</t>
  </si>
  <si>
    <t>TUBOS</t>
  </si>
  <si>
    <t>ERM ou ERFE ("gris")</t>
  </si>
  <si>
    <t>3 x H07V-R 1x4</t>
  </si>
  <si>
    <t>5 x H07V-R 1x4</t>
  </si>
  <si>
    <t>Diâmetro interior (mm)</t>
  </si>
  <si>
    <t>Secção interior (mm2)</t>
  </si>
  <si>
    <t>Nota 1: A secção utilizável equivale a 1/3 da seção interior real.</t>
  </si>
  <si>
    <t>PEAD ou PEBD</t>
  </si>
  <si>
    <t>Diâmetro nominal tubo PEAD ou PEBD (mm)</t>
  </si>
  <si>
    <t>XAZ1 (frt,zh) 3X185+2G95</t>
  </si>
  <si>
    <t>XAZ1 (frt,zh) 3X120+2G70</t>
  </si>
  <si>
    <t>XAZ1 (frt,zh) 3X70+2G35</t>
  </si>
  <si>
    <t>XAZ1 (frt,zh) 3X65+2G50</t>
  </si>
  <si>
    <t>Nota 2: Tubos ERM ou ERFE estão limitados a 40 mm.</t>
  </si>
  <si>
    <t>Exame 03/Fev/2016</t>
  </si>
  <si>
    <t>FC</t>
  </si>
  <si>
    <t>Q (kvar)</t>
  </si>
  <si>
    <r>
      <t xml:space="preserve">Índice </t>
    </r>
    <r>
      <rPr>
        <sz val="16"/>
        <rFont val="Arial"/>
        <family val="2"/>
      </rPr>
      <t xml:space="preserve">das </t>
    </r>
    <r>
      <rPr>
        <b/>
        <sz val="16"/>
        <rFont val="Arial"/>
        <family val="2"/>
      </rPr>
      <t xml:space="preserve">RTIEBT   </t>
    </r>
    <r>
      <rPr>
        <b/>
        <sz val="20"/>
        <rFont val="Arial"/>
        <family val="2"/>
      </rPr>
      <t xml:space="preserve">  </t>
    </r>
    <r>
      <rPr>
        <b/>
        <sz val="16"/>
        <rFont val="Arial"/>
        <family val="2"/>
      </rPr>
      <t xml:space="preserve">  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8"/>
        <rFont val="Arial"/>
        <family val="2"/>
      </rPr>
      <t xml:space="preserve">(Portaria n.º 949-A/2006, de 11 de Setembro - Diário da República, 1.ª Série - n.º 175 ) </t>
    </r>
  </si>
  <si>
    <r>
      <t xml:space="preserve">Partes                        </t>
    </r>
    <r>
      <rPr>
        <sz val="8"/>
        <rFont val="Arial"/>
        <family val="2"/>
      </rPr>
      <t>(Capítulos)</t>
    </r>
  </si>
  <si>
    <t>Subdivisão das Partes</t>
  </si>
  <si>
    <t>Secção/
Anexos</t>
  </si>
  <si>
    <t>Página</t>
  </si>
  <si>
    <t>1- Generalidades</t>
  </si>
  <si>
    <t>11 - Campo de aplicação</t>
  </si>
  <si>
    <t>12 - Objectivo</t>
  </si>
  <si>
    <t>13 - Princípios fundamentais</t>
  </si>
  <si>
    <t>Protecção para garantir a segurança</t>
  </si>
  <si>
    <t>Concepção das instalações</t>
  </si>
  <si>
    <t>Selecção dos equipamentos</t>
  </si>
  <si>
    <t>Execução e verificação das instalações eléctricas antes da entrada em serviço</t>
  </si>
  <si>
    <t>14 - Limites das instalações</t>
  </si>
  <si>
    <t>Origem das instalações</t>
  </si>
  <si>
    <t>Limites (a juzante) das instalações</t>
  </si>
  <si>
    <t>2 - Definições</t>
  </si>
  <si>
    <t>21 - Características das instalações</t>
  </si>
  <si>
    <t>Características gerais</t>
  </si>
  <si>
    <t>Grandezas</t>
  </si>
  <si>
    <t>Instalações diversas</t>
  </si>
  <si>
    <t>Disponível</t>
  </si>
  <si>
    <t xml:space="preserve">Alimentações </t>
  </si>
  <si>
    <t>Factores</t>
  </si>
  <si>
    <t>Influências externas</t>
  </si>
  <si>
    <t>22 - Tensões</t>
  </si>
  <si>
    <t>Tensão nominal</t>
  </si>
  <si>
    <t>Domínio das tensões em corrente alternada</t>
  </si>
  <si>
    <t>Domínio das tensões em corrente contínua</t>
  </si>
  <si>
    <t>23 - Protecção contra os choques eléctricos</t>
  </si>
  <si>
    <t>Termos gerais</t>
  </si>
  <si>
    <t>Condutores, partes activas e massas</t>
  </si>
  <si>
    <t>Defeitos</t>
  </si>
  <si>
    <t>Tensões</t>
  </si>
  <si>
    <t>Diversos</t>
  </si>
  <si>
    <t>Isolamentos</t>
  </si>
  <si>
    <t>Classificação dos equipamentos relativamente à protecção contra choques eléctricos</t>
  </si>
  <si>
    <t>24 - Ligações à terra</t>
  </si>
  <si>
    <t>Temos gerais</t>
  </si>
  <si>
    <t>Eléctrodos de terra</t>
  </si>
  <si>
    <t>Ligações equipotenciais</t>
  </si>
  <si>
    <t>25 - Circuitos eléctricos</t>
  </si>
  <si>
    <t xml:space="preserve">Correntes </t>
  </si>
  <si>
    <t>Dispositivo de seccionamento, de comando e de protecção</t>
  </si>
  <si>
    <t>Características dos dispositivos de protecção</t>
  </si>
  <si>
    <t>26 - Canalizações</t>
  </si>
  <si>
    <t>Modos de instalação</t>
  </si>
  <si>
    <t>27 - Equipamentos</t>
  </si>
  <si>
    <t>Possibilidades de deslocamento</t>
  </si>
  <si>
    <t>28 - Seccionamento e comando</t>
  </si>
  <si>
    <t>29 - Competência de pessoas</t>
  </si>
  <si>
    <t>3 - Determinação das características gerais das instalações</t>
  </si>
  <si>
    <t>31 - Alimentação e estrutura das instalações</t>
  </si>
  <si>
    <t>Potência a alimentar e factor de simultaneidade</t>
  </si>
  <si>
    <t>Tipos de sistemas de distribuição</t>
  </si>
  <si>
    <t xml:space="preserve">Alimentação </t>
  </si>
  <si>
    <t>Estrutura</t>
  </si>
  <si>
    <t>32 - Influências externas</t>
  </si>
  <si>
    <t>Generalidades</t>
  </si>
  <si>
    <t>Ambientes</t>
  </si>
  <si>
    <t>Utilizações</t>
  </si>
  <si>
    <t>Construção</t>
  </si>
  <si>
    <t>33 - Compatibilidade</t>
  </si>
  <si>
    <t>Perturbações de baixa frequência</t>
  </si>
  <si>
    <t>Perturbações de alta frequência</t>
  </si>
  <si>
    <t>34 - Manutibilidade</t>
  </si>
  <si>
    <t>Selecção e Instalação dos equipamentos em função da manutenção</t>
  </si>
  <si>
    <t>35 - Serviços de segurança</t>
  </si>
  <si>
    <t xml:space="preserve">Classificação </t>
  </si>
  <si>
    <t>36 - Instalações temporárias</t>
  </si>
  <si>
    <t>Instalações para reparações</t>
  </si>
  <si>
    <t>Instalações para trabalhos</t>
  </si>
  <si>
    <t>Instalações semi-permanentes</t>
  </si>
  <si>
    <r>
      <t xml:space="preserve">4 - Protecção para garantir a segurança
</t>
    </r>
    <r>
      <rPr>
        <sz val="8"/>
        <rFont val="Arial"/>
        <family val="2"/>
      </rPr>
      <t xml:space="preserve">
(continua)</t>
    </r>
  </si>
  <si>
    <t>41 - Protecção contra os choques eléctricos</t>
  </si>
  <si>
    <t>Protecção contra os contactos directos e contra os contactos indirectos</t>
  </si>
  <si>
    <t>Protecção contra os contactos directos</t>
  </si>
  <si>
    <t>Protecção contra os contactos indirectos</t>
  </si>
  <si>
    <t xml:space="preserve">42 - Protecção contra os efeitos térmicos em serviço normal </t>
  </si>
  <si>
    <t>Protecção contra incêndios</t>
  </si>
  <si>
    <t>Protecção contra queimaduras</t>
  </si>
  <si>
    <t>Protecção contra sobreaquecimento</t>
  </si>
  <si>
    <t>43 - Protecção contra sobreintensidades</t>
  </si>
  <si>
    <t>Natureza dos dispositivos de protecção</t>
  </si>
  <si>
    <t>Protecção contra curto-circuitos</t>
  </si>
  <si>
    <t>Coordenação entre a protecção contra sobrecargas e a protecção contra curto-circuitos</t>
  </si>
  <si>
    <t>44 - Protecção contra sobretensões</t>
  </si>
  <si>
    <t>Protecção das instalações de BT contra defeitos à terra nas instalações AT</t>
  </si>
  <si>
    <t>Sobretensões de origem atmosférica e sobretensões de manobra</t>
  </si>
  <si>
    <t>45 - Protecção contra abaixamentos de tensão</t>
  </si>
  <si>
    <t>Regras gerais</t>
  </si>
  <si>
    <t>46 - Seccionamento e comando</t>
  </si>
  <si>
    <t>Introdução</t>
  </si>
  <si>
    <t>Seccionamento</t>
  </si>
  <si>
    <t>Corte para manutenção mecânica</t>
  </si>
  <si>
    <t>Corte de emergência incluindo paragem de emergência</t>
  </si>
  <si>
    <t>Comando funcional</t>
  </si>
  <si>
    <r>
      <t xml:space="preserve">
</t>
    </r>
    <r>
      <rPr>
        <sz val="8"/>
        <rFont val="Arial"/>
        <family val="2"/>
      </rPr>
      <t>(continuação)</t>
    </r>
    <r>
      <rPr>
        <b/>
        <sz val="8"/>
        <rFont val="Arial"/>
        <family val="2"/>
      </rPr>
      <t xml:space="preserve">
4 - Protecção
 para garantir a
 segurança
</t>
    </r>
  </si>
  <si>
    <t>47 - Aplicação das medidas de protecção para garantir a segurança</t>
  </si>
  <si>
    <t xml:space="preserve">Medidas de protecção contra os choques eléctricos </t>
  </si>
  <si>
    <t>Medidas de protecção contra as sobreintensidades</t>
  </si>
  <si>
    <t>Comando e seccionamento</t>
  </si>
  <si>
    <t>48 - Selecção das medidas de protecção em função das influências externas</t>
  </si>
  <si>
    <t>Protecção contra os choques eléctricos</t>
  </si>
  <si>
    <t>Protecção contra o incêndio</t>
  </si>
  <si>
    <t>Anexo I</t>
  </si>
  <si>
    <t>Protecção por isolamento suplementar</t>
  </si>
  <si>
    <t>Anexo II</t>
  </si>
  <si>
    <t xml:space="preserve">Qualificação dos materiais e dos elementos de construção </t>
  </si>
  <si>
    <t>Anexo III</t>
  </si>
  <si>
    <t>Protecção contra  as sobretensões de origem atmosférica</t>
  </si>
  <si>
    <t>Anexo IV</t>
  </si>
  <si>
    <t xml:space="preserve">Tensões nominais de alimentação </t>
  </si>
  <si>
    <t>Anexo V</t>
  </si>
  <si>
    <t>Selecção das medidas de protecção contra os choques eléctricos, para  os equipamentos utilizados nos conjuntos de aparelhagem</t>
  </si>
  <si>
    <t>5 - Selecção e instalação dos equipamentos</t>
  </si>
  <si>
    <t>51 - Regras comuns a todos os equipamentos</t>
  </si>
  <si>
    <t>Qualidade do equipamento utilizado</t>
  </si>
  <si>
    <t>Selecção dos equipamentos em função das condições
de serviço e das influências externas</t>
  </si>
  <si>
    <t>Acessibilidade dos equipamentos eléctricos</t>
  </si>
  <si>
    <t>Identificação e marcação</t>
  </si>
  <si>
    <t>Independência dos equipamentos eléctricos</t>
  </si>
  <si>
    <t xml:space="preserve">52 -Canalizações </t>
  </si>
  <si>
    <t>Tipos de canalizações</t>
  </si>
  <si>
    <t>Selecção e instalação em função das influências externas</t>
  </si>
  <si>
    <t>Correntes admissíveis</t>
  </si>
  <si>
    <t>Quedas de tensão</t>
  </si>
  <si>
    <t>Ligações</t>
  </si>
  <si>
    <t>Selecção e instalação com vista a limitar a propagação do fogo</t>
  </si>
  <si>
    <t>Vizinhança com outras canalizações</t>
  </si>
  <si>
    <t>Selecção e instalação em função da manutenção (incluindo a limpeza)</t>
  </si>
  <si>
    <t>53 - Aparelhagem (protecção, comando e seccionamento)</t>
  </si>
  <si>
    <t>Generalidades e regras comuns</t>
  </si>
  <si>
    <t>Dispositivos de protecção contra os contactos indirectos por corte automático da alimentação</t>
  </si>
  <si>
    <t>Dispositivos de protecção contra os efeitos térmicos (em estudo)</t>
  </si>
  <si>
    <t>Dispositivos de protecção contra as sobreintensidades</t>
  </si>
  <si>
    <t>Dispositivos de protecção contra as sobretensões</t>
  </si>
  <si>
    <t>Dispositivos de protecção contra abaixamentos de tensão</t>
  </si>
  <si>
    <t>Dispositivos de comando e de seccionamento</t>
  </si>
  <si>
    <t>Coordenação entre os diferentes dispositivos de protecção</t>
  </si>
  <si>
    <t>54 - Ligações à terra e condutores de protecção</t>
  </si>
  <si>
    <t>Terras</t>
  </si>
  <si>
    <t>Condutores de protecção</t>
  </si>
  <si>
    <t>Ligações à terra por razões de protecção</t>
  </si>
  <si>
    <t>Ligações à terra por razões funcionais</t>
  </si>
  <si>
    <t>Ligações à terra por razões combinadas de protecção e funcionais</t>
  </si>
  <si>
    <t>Condutores de equipotencialidade</t>
  </si>
  <si>
    <t xml:space="preserve">55 - Outros equipamentos </t>
  </si>
  <si>
    <t>Sistemas geradores de baixa tensão</t>
  </si>
  <si>
    <t>Transformadores</t>
  </si>
  <si>
    <t>Motores</t>
  </si>
  <si>
    <t>Dispositivos de ligação</t>
  </si>
  <si>
    <t>Fichas e tomadas</t>
  </si>
  <si>
    <t>Aparelhos de medição</t>
  </si>
  <si>
    <t>Condensadores</t>
  </si>
  <si>
    <t>Conjuntos de aparelhagem</t>
  </si>
  <si>
    <t>Equipamentos de utilização</t>
  </si>
  <si>
    <t>56 - Alimentação (para serviços) de segurança</t>
  </si>
  <si>
    <t>Fontes</t>
  </si>
  <si>
    <t>Circuitos</t>
  </si>
  <si>
    <t>Regras particulares para os serviços de segurança com fontes que não possam funcionar em paralelo</t>
  </si>
  <si>
    <t>Regras particulares para os serviços de segurança com fontes que possam funcionar em paralelo</t>
  </si>
  <si>
    <t>Anexos</t>
  </si>
  <si>
    <t>Marcação dos condutores de protecção e de ligação à terra nas instalações fixas</t>
  </si>
  <si>
    <t>Anexo IIA</t>
  </si>
  <si>
    <t>Símbolos  utilizados nas designações de condutores e cabos, isolados,para instalações eléctricas, segundo a HD 361</t>
  </si>
  <si>
    <t>Símbolos  utilizados nas designações de condutores e cabos, isolados,para instalações eléctricas, segundo a NP 665</t>
  </si>
  <si>
    <t xml:space="preserve">Correntes admissíveis nos condutores e  nos cabos </t>
  </si>
  <si>
    <t>Ligações à terra de descarregadores de sobretensão das instalações telefónicas</t>
  </si>
  <si>
    <t>Condutores de protecção - Método para a determinação do factor k</t>
  </si>
  <si>
    <t>Anexo VII</t>
  </si>
  <si>
    <t>Ligações à terra e condutores de protecção</t>
  </si>
  <si>
    <t>Anexo VIII</t>
  </si>
  <si>
    <t>Instalações de baterias de acumuladores</t>
  </si>
  <si>
    <t>6 - Verificação e manutenção das instalações</t>
  </si>
  <si>
    <t>60 - Definições</t>
  </si>
  <si>
    <t>61 - Verificação inicial</t>
  </si>
  <si>
    <t>Inspecção visual</t>
  </si>
  <si>
    <t>Ensaios</t>
  </si>
  <si>
    <t>62 - Verificação após a entrada em serviço</t>
  </si>
  <si>
    <t>63 - Manutenção das instalações</t>
  </si>
  <si>
    <t>64 - Exploração das instalações</t>
  </si>
  <si>
    <t>Utilização das instalações</t>
  </si>
  <si>
    <t>Execução de trabalhos</t>
  </si>
  <si>
    <t>Equipamentos de reserva e acessórios para a exploração</t>
  </si>
  <si>
    <t>Instruções de primeiros socorros</t>
  </si>
  <si>
    <t>Acordo com outras entidades</t>
  </si>
  <si>
    <t>Anexo A</t>
  </si>
  <si>
    <t>Método de medição da resistência de isolamentos dos pavimentos e demais elementos de construção</t>
  </si>
  <si>
    <t>Anexo B</t>
  </si>
  <si>
    <t>Verificação de funcionamento de dispositivos diferenciais</t>
  </si>
  <si>
    <t>Anexo C</t>
  </si>
  <si>
    <t>Medição da resistência de um eléctrodo de terra</t>
  </si>
  <si>
    <t>Anexo D</t>
  </si>
  <si>
    <t>Medição da impedância da malha de defeito</t>
  </si>
  <si>
    <t>7- Regras para instalações e locais especiais</t>
  </si>
  <si>
    <t>Casas de banho</t>
  </si>
  <si>
    <t>Locais contendo banheiras ou chuveiros (casas de banho)</t>
  </si>
  <si>
    <t>Ligação equipotencial suplementar</t>
  </si>
  <si>
    <t>Elementos condutores a ligar à ligação equipotencial</t>
  </si>
  <si>
    <t>Piscinas</t>
  </si>
  <si>
    <t>Piscinas e semelhantes</t>
  </si>
  <si>
    <t>Saunas</t>
  </si>
  <si>
    <t>Locais contendo radiadores para sauna</t>
  </si>
  <si>
    <t>Estaleiros</t>
  </si>
  <si>
    <t>Instalações de estaleiros</t>
  </si>
  <si>
    <t>Est. agrícolas</t>
  </si>
  <si>
    <t>Instalações eléctricas em estabelecimentos agrícolas ou pecuários</t>
  </si>
  <si>
    <t>Locais exíguos</t>
  </si>
  <si>
    <t>Locais condutores exíguos</t>
  </si>
  <si>
    <t>Equip. de trat. Informação</t>
  </si>
  <si>
    <t>Ligação à terra de instalações de equipamentos de tratamento de informação</t>
  </si>
  <si>
    <t>Instalações e equipamentos</t>
  </si>
  <si>
    <t>Esqquemas de ligação à terra na alimentação de computadores</t>
  </si>
  <si>
    <t>8 - Regras complementares</t>
  </si>
  <si>
    <t>Condições de estabelecimento das instalações consoante o local</t>
  </si>
  <si>
    <t xml:space="preserve">Exemplos de substâncias sólidas, líquidas e gasosas (Risco de explosão)  </t>
  </si>
  <si>
    <t>Volume afecto ao doente nos locais de uso médico</t>
  </si>
  <si>
    <t>Medidas de protecção contra os choques eléctricos nos locais de uso médico</t>
  </si>
  <si>
    <t>Guia para a selecção das medidas de protecção nos locais de uso médico com riscos particulares</t>
  </si>
  <si>
    <t xml:space="preserve">Zonas de risco nas salas de operações e nas salas de anestesia nos locais de uso médico  </t>
  </si>
  <si>
    <t>Alimentações de socorro e de segurança médica nos locais de uso médico</t>
  </si>
  <si>
    <t>Dispositivo de medida da corrente de contacto nos locais de uso médico</t>
  </si>
  <si>
    <t>Instalações de alta tensão alimentadas a partir da baixa tensão</t>
  </si>
  <si>
    <t xml:space="preserve">Listagem de cabos de alta tensão especificados na Norma EN 50143 </t>
  </si>
  <si>
    <t>Instalações colectivas e entradas</t>
  </si>
  <si>
    <t>Uc</t>
  </si>
  <si>
    <t>Z</t>
  </si>
  <si>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>/km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</si>
  <si>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U</t>
    </r>
  </si>
  <si>
    <t>km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</si>
  <si>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u</t>
    </r>
  </si>
  <si>
    <t>Número de luminárias</t>
  </si>
  <si>
    <t>Largura da sala</t>
  </si>
  <si>
    <t>Comprimento da sala</t>
  </si>
  <si>
    <t>lum</t>
  </si>
  <si>
    <t>Nível de iluminação</t>
  </si>
  <si>
    <t>lx</t>
  </si>
  <si>
    <t>Fluxo por luminária</t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</si>
  <si>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a</t>
    </r>
  </si>
  <si>
    <t>lm</t>
  </si>
  <si>
    <t>Fator de manutenção</t>
  </si>
  <si>
    <t>Km</t>
  </si>
  <si>
    <t>Fator de depreciação</t>
  </si>
  <si>
    <t>Kd</t>
  </si>
  <si>
    <t>Fator de utilização</t>
  </si>
  <si>
    <t>Fator de área</t>
  </si>
  <si>
    <t>Ka</t>
  </si>
  <si>
    <t>Altura</t>
  </si>
  <si>
    <t>IR - teto</t>
  </si>
  <si>
    <t>IR - paredes</t>
  </si>
  <si>
    <t>Irt</t>
  </si>
  <si>
    <t>Irp</t>
  </si>
  <si>
    <t>Irpt</t>
  </si>
  <si>
    <t>IR - plano de trabalho</t>
  </si>
  <si>
    <t>y = mx+b</t>
  </si>
  <si>
    <t>x</t>
  </si>
  <si>
    <t>y</t>
  </si>
  <si>
    <t>Exercício 10.10</t>
  </si>
  <si>
    <t>Varetas de cobre</t>
  </si>
  <si>
    <t>var</t>
  </si>
  <si>
    <t>Comprimentos vareta</t>
  </si>
  <si>
    <t>Chapas</t>
  </si>
  <si>
    <t>cha</t>
  </si>
  <si>
    <t>Altura chapa</t>
  </si>
  <si>
    <t>Largura chapa</t>
  </si>
  <si>
    <t>Perímetro chapa</t>
  </si>
  <si>
    <t>Comprimento condutores</t>
  </si>
  <si>
    <t>Resistividade do terreno</t>
  </si>
  <si>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>.m</t>
    </r>
  </si>
  <si>
    <t>Resistência varetas</t>
  </si>
  <si>
    <t>Resistência chapas</t>
  </si>
  <si>
    <t>Resistência condutores</t>
  </si>
  <si>
    <t>Resistência total</t>
  </si>
</sst>
</file>

<file path=xl/styles.xml><?xml version="1.0" encoding="utf-8"?>
<styleSheet xmlns="http://schemas.openxmlformats.org/spreadsheetml/2006/main">
  <numFmts count="6">
    <numFmt numFmtId="164" formatCode="0.0"/>
    <numFmt numFmtId="165" formatCode="0.0000"/>
    <numFmt numFmtId="166" formatCode="0.0%"/>
    <numFmt numFmtId="167" formatCode="#,##0.0"/>
    <numFmt numFmtId="168" formatCode="0.000"/>
    <numFmt numFmtId="169" formatCode="0.00\ &quot;ohm&quot;"/>
  </numFmts>
  <fonts count="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4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Symbol"/>
      <family val="1"/>
      <charset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Symbol"/>
      <family val="1"/>
      <charset val="2"/>
    </font>
    <font>
      <sz val="11"/>
      <name val="Symbol"/>
      <family val="1"/>
      <charset val="2"/>
    </font>
    <font>
      <b/>
      <sz val="16"/>
      <color theme="1"/>
      <name val="Calibri"/>
      <family val="2"/>
      <scheme val="minor"/>
    </font>
    <font>
      <sz val="10"/>
      <name val="Arial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0" borderId="0"/>
  </cellStyleXfs>
  <cellXfs count="395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1" fillId="2" borderId="0" xfId="0" applyFon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3" fillId="0" borderId="0" xfId="0" applyFont="1" applyFill="1"/>
    <xf numFmtId="1" fontId="0" fillId="0" borderId="0" xfId="0" applyNumberFormat="1"/>
    <xf numFmtId="2" fontId="0" fillId="0" borderId="1" xfId="0" applyNumberFormat="1" applyBorder="1"/>
    <xf numFmtId="164" fontId="0" fillId="0" borderId="1" xfId="0" applyNumberFormat="1" applyBorder="1"/>
    <xf numFmtId="2" fontId="1" fillId="2" borderId="1" xfId="0" applyNumberFormat="1" applyFont="1" applyFill="1" applyBorder="1"/>
    <xf numFmtId="2" fontId="0" fillId="0" borderId="1" xfId="0" applyNumberFormat="1" applyFont="1" applyFill="1" applyBorder="1"/>
    <xf numFmtId="0" fontId="0" fillId="2" borderId="1" xfId="0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2" borderId="1" xfId="0" applyFont="1" applyFill="1" applyBorder="1"/>
    <xf numFmtId="0" fontId="1" fillId="0" borderId="0" xfId="0" applyFont="1" applyFill="1" applyBorder="1"/>
    <xf numFmtId="2" fontId="1" fillId="0" borderId="0" xfId="0" applyNumberFormat="1" applyFont="1" applyFill="1" applyBorder="1"/>
    <xf numFmtId="2" fontId="1" fillId="0" borderId="0" xfId="0" applyNumberFormat="1" applyFont="1" applyFill="1" applyBorder="1" applyAlignment="1">
      <alignment horizontal="center"/>
    </xf>
    <xf numFmtId="0" fontId="0" fillId="0" borderId="0" xfId="0" applyFill="1"/>
    <xf numFmtId="2" fontId="1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3" fontId="0" fillId="0" borderId="1" xfId="0" applyNumberFormat="1" applyBorder="1"/>
    <xf numFmtId="3" fontId="1" fillId="2" borderId="1" xfId="0" applyNumberFormat="1" applyFont="1" applyFill="1" applyBorder="1"/>
    <xf numFmtId="9" fontId="1" fillId="2" borderId="1" xfId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9" fontId="1" fillId="0" borderId="1" xfId="1" applyFon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1" fillId="2" borderId="1" xfId="0" applyNumberFormat="1" applyFont="1" applyFill="1" applyBorder="1"/>
    <xf numFmtId="166" fontId="1" fillId="2" borderId="1" xfId="1" applyNumberFormat="1" applyFont="1" applyFill="1" applyBorder="1"/>
    <xf numFmtId="0" fontId="8" fillId="0" borderId="0" xfId="0" applyFont="1"/>
    <xf numFmtId="9" fontId="0" fillId="2" borderId="0" xfId="0" applyNumberFormat="1" applyFill="1"/>
    <xf numFmtId="0" fontId="2" fillId="2" borderId="0" xfId="0" applyFont="1" applyFill="1" applyBorder="1" applyAlignment="1">
      <alignment horizontal="center"/>
    </xf>
    <xf numFmtId="165" fontId="0" fillId="2" borderId="0" xfId="0" applyNumberFormat="1" applyFill="1"/>
    <xf numFmtId="0" fontId="0" fillId="0" borderId="0" xfId="0"/>
    <xf numFmtId="0" fontId="10" fillId="2" borderId="0" xfId="0" applyFont="1" applyFill="1" applyAlignment="1">
      <alignment horizontal="center"/>
    </xf>
    <xf numFmtId="2" fontId="0" fillId="0" borderId="0" xfId="0" applyNumberFormat="1"/>
    <xf numFmtId="0" fontId="1" fillId="2" borderId="0" xfId="0" applyFont="1" applyFill="1" applyAlignment="1">
      <alignment horizontal="right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2" borderId="2" xfId="0" applyFill="1" applyBorder="1"/>
    <xf numFmtId="164" fontId="0" fillId="0" borderId="0" xfId="0" applyNumberFormat="1"/>
    <xf numFmtId="0" fontId="0" fillId="5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2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1" fillId="2" borderId="3" xfId="0" applyNumberFormat="1" applyFont="1" applyFill="1" applyBorder="1"/>
    <xf numFmtId="0" fontId="0" fillId="0" borderId="2" xfId="0" applyFill="1" applyBorder="1"/>
    <xf numFmtId="0" fontId="0" fillId="7" borderId="1" xfId="0" applyFill="1" applyBorder="1"/>
    <xf numFmtId="0" fontId="0" fillId="0" borderId="1" xfId="0" applyFill="1" applyBorder="1"/>
    <xf numFmtId="0" fontId="1" fillId="2" borderId="1" xfId="0" applyFont="1" applyFill="1" applyBorder="1" applyAlignment="1">
      <alignment horizontal="center" vertical="top"/>
    </xf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1" fillId="2" borderId="6" xfId="0" applyFont="1" applyFill="1" applyBorder="1" applyAlignment="1"/>
    <xf numFmtId="0" fontId="12" fillId="0" borderId="0" xfId="2" applyFont="1"/>
    <xf numFmtId="0" fontId="12" fillId="0" borderId="0" xfId="2" applyFont="1" applyAlignment="1">
      <alignment horizontal="center"/>
    </xf>
    <xf numFmtId="0" fontId="12" fillId="0" borderId="0" xfId="2" applyFont="1" applyAlignment="1">
      <alignment horizontal="right"/>
    </xf>
    <xf numFmtId="0" fontId="9" fillId="0" borderId="0" xfId="2"/>
    <xf numFmtId="0" fontId="13" fillId="8" borderId="0" xfId="2" applyFont="1" applyFill="1"/>
    <xf numFmtId="0" fontId="9" fillId="8" borderId="0" xfId="2" applyFill="1"/>
    <xf numFmtId="0" fontId="9" fillId="8" borderId="0" xfId="2" applyFill="1" applyAlignment="1">
      <alignment horizontal="center"/>
    </xf>
    <xf numFmtId="0" fontId="9" fillId="8" borderId="0" xfId="2" applyFill="1" applyAlignment="1">
      <alignment horizontal="right"/>
    </xf>
    <xf numFmtId="0" fontId="9" fillId="8" borderId="1" xfId="2" applyFill="1" applyBorder="1" applyAlignment="1">
      <alignment horizontal="right"/>
    </xf>
    <xf numFmtId="3" fontId="9" fillId="8" borderId="1" xfId="2" applyNumberFormat="1" applyFill="1" applyBorder="1" applyAlignment="1">
      <alignment horizontal="right"/>
    </xf>
    <xf numFmtId="2" fontId="9" fillId="8" borderId="1" xfId="2" applyNumberFormat="1" applyFill="1" applyBorder="1" applyAlignment="1">
      <alignment horizontal="right"/>
    </xf>
    <xf numFmtId="0" fontId="14" fillId="8" borderId="0" xfId="2" applyFont="1" applyFill="1" applyAlignment="1">
      <alignment horizontal="center"/>
    </xf>
    <xf numFmtId="0" fontId="9" fillId="8" borderId="0" xfId="2" applyFont="1" applyFill="1" applyAlignment="1">
      <alignment horizontal="center"/>
    </xf>
    <xf numFmtId="0" fontId="13" fillId="0" borderId="0" xfId="2" applyFont="1"/>
    <xf numFmtId="0" fontId="9" fillId="0" borderId="0" xfId="2" applyAlignment="1">
      <alignment horizontal="center"/>
    </xf>
    <xf numFmtId="0" fontId="9" fillId="0" borderId="0" xfId="2" applyAlignment="1">
      <alignment horizontal="right"/>
    </xf>
    <xf numFmtId="164" fontId="9" fillId="0" borderId="0" xfId="2" applyNumberFormat="1" applyAlignment="1">
      <alignment horizontal="right"/>
    </xf>
    <xf numFmtId="1" fontId="9" fillId="0" borderId="1" xfId="2" applyNumberFormat="1" applyBorder="1" applyAlignment="1">
      <alignment horizontal="right"/>
    </xf>
    <xf numFmtId="2" fontId="9" fillId="0" borderId="1" xfId="2" applyNumberFormat="1" applyBorder="1" applyAlignment="1">
      <alignment horizontal="right"/>
    </xf>
    <xf numFmtId="2" fontId="9" fillId="0" borderId="0" xfId="2" applyNumberFormat="1" applyAlignment="1">
      <alignment horizontal="right"/>
    </xf>
    <xf numFmtId="164" fontId="9" fillId="0" borderId="1" xfId="2" applyNumberFormat="1" applyBorder="1" applyAlignment="1">
      <alignment horizontal="right"/>
    </xf>
    <xf numFmtId="3" fontId="9" fillId="0" borderId="1" xfId="2" applyNumberFormat="1" applyBorder="1" applyAlignment="1">
      <alignment horizontal="right"/>
    </xf>
    <xf numFmtId="0" fontId="13" fillId="0" borderId="0" xfId="2" applyFont="1" applyAlignment="1">
      <alignment horizontal="center"/>
    </xf>
    <xf numFmtId="0" fontId="13" fillId="0" borderId="1" xfId="2" applyFont="1" applyBorder="1" applyAlignment="1">
      <alignment horizontal="right"/>
    </xf>
    <xf numFmtId="0" fontId="9" fillId="0" borderId="1" xfId="2" applyBorder="1" applyAlignment="1">
      <alignment horizontal="right"/>
    </xf>
    <xf numFmtId="0" fontId="13" fillId="0" borderId="0" xfId="2" applyFont="1" applyFill="1"/>
    <xf numFmtId="0" fontId="9" fillId="0" borderId="0" xfId="2" applyFill="1"/>
    <xf numFmtId="0" fontId="14" fillId="0" borderId="0" xfId="2" applyFont="1" applyFill="1" applyAlignment="1">
      <alignment horizontal="center"/>
    </xf>
    <xf numFmtId="165" fontId="9" fillId="0" borderId="0" xfId="2" applyNumberFormat="1" applyAlignment="1">
      <alignment horizontal="right"/>
    </xf>
    <xf numFmtId="0" fontId="14" fillId="0" borderId="0" xfId="2" applyFont="1" applyAlignment="1">
      <alignment horizontal="center"/>
    </xf>
    <xf numFmtId="3" fontId="9" fillId="0" borderId="0" xfId="2" applyNumberFormat="1" applyAlignment="1">
      <alignment horizontal="right"/>
    </xf>
    <xf numFmtId="4" fontId="9" fillId="0" borderId="0" xfId="2" applyNumberFormat="1" applyAlignment="1">
      <alignment horizontal="right"/>
    </xf>
    <xf numFmtId="0" fontId="14" fillId="0" borderId="0" xfId="2" applyFont="1"/>
    <xf numFmtId="9" fontId="9" fillId="0" borderId="1" xfId="2" applyNumberFormat="1" applyBorder="1" applyAlignment="1">
      <alignment horizontal="right"/>
    </xf>
    <xf numFmtId="167" fontId="9" fillId="0" borderId="1" xfId="2" applyNumberFormat="1" applyBorder="1" applyAlignment="1">
      <alignment horizontal="right"/>
    </xf>
    <xf numFmtId="166" fontId="0" fillId="0" borderId="0" xfId="4" applyNumberFormat="1" applyFont="1" applyAlignment="1">
      <alignment horizontal="right"/>
    </xf>
    <xf numFmtId="0" fontId="9" fillId="0" borderId="0" xfId="2" applyFont="1"/>
    <xf numFmtId="0" fontId="9" fillId="8" borderId="1" xfId="2" applyFont="1" applyFill="1" applyBorder="1" applyAlignment="1">
      <alignment horizontal="right"/>
    </xf>
    <xf numFmtId="2" fontId="9" fillId="0" borderId="1" xfId="2" applyNumberFormat="1" applyFont="1" applyBorder="1" applyAlignment="1">
      <alignment horizontal="right"/>
    </xf>
    <xf numFmtId="0" fontId="9" fillId="0" borderId="0" xfId="2" applyFont="1" applyAlignment="1">
      <alignment horizontal="center"/>
    </xf>
    <xf numFmtId="4" fontId="9" fillId="0" borderId="1" xfId="2" applyNumberFormat="1" applyBorder="1" applyAlignment="1">
      <alignment horizontal="right"/>
    </xf>
    <xf numFmtId="2" fontId="9" fillId="0" borderId="0" xfId="2" applyNumberFormat="1" applyBorder="1" applyAlignment="1">
      <alignment horizontal="right"/>
    </xf>
    <xf numFmtId="2" fontId="9" fillId="0" borderId="0" xfId="2" applyNumberFormat="1" applyFont="1" applyBorder="1" applyAlignment="1">
      <alignment horizontal="right"/>
    </xf>
    <xf numFmtId="164" fontId="9" fillId="0" borderId="0" xfId="2" applyNumberFormat="1" applyBorder="1" applyAlignment="1">
      <alignment horizontal="right"/>
    </xf>
    <xf numFmtId="2" fontId="9" fillId="2" borderId="1" xfId="2" applyNumberFormat="1" applyFill="1" applyBorder="1" applyAlignment="1">
      <alignment horizontal="right"/>
    </xf>
    <xf numFmtId="166" fontId="0" fillId="0" borderId="0" xfId="3" applyNumberFormat="1" applyFont="1" applyAlignment="1">
      <alignment horizontal="right"/>
    </xf>
    <xf numFmtId="0" fontId="0" fillId="0" borderId="0" xfId="0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165" fontId="0" fillId="0" borderId="0" xfId="0" applyNumberFormat="1" applyFill="1"/>
    <xf numFmtId="9" fontId="0" fillId="0" borderId="0" xfId="0" applyNumberFormat="1" applyFill="1"/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 wrapText="1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center" wrapText="1"/>
    </xf>
    <xf numFmtId="2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/>
    <xf numFmtId="2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" fontId="0" fillId="9" borderId="1" xfId="0" applyNumberFormat="1" applyFill="1" applyBorder="1"/>
    <xf numFmtId="0" fontId="0" fillId="4" borderId="1" xfId="0" applyFill="1" applyBorder="1"/>
    <xf numFmtId="0" fontId="2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164" fontId="1" fillId="2" borderId="0" xfId="0" applyNumberFormat="1" applyFont="1" applyFill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2" fontId="1" fillId="0" borderId="16" xfId="0" applyNumberFormat="1" applyFont="1" applyBorder="1"/>
    <xf numFmtId="2" fontId="1" fillId="0" borderId="17" xfId="0" applyNumberFormat="1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9" fontId="0" fillId="0" borderId="3" xfId="1" applyFon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3" fontId="0" fillId="4" borderId="1" xfId="0" applyNumberFormat="1" applyFill="1" applyBorder="1"/>
    <xf numFmtId="0" fontId="3" fillId="2" borderId="0" xfId="0" applyFont="1" applyFill="1"/>
    <xf numFmtId="164" fontId="9" fillId="0" borderId="21" xfId="2" applyNumberFormat="1" applyBorder="1" applyAlignment="1">
      <alignment horizontal="right"/>
    </xf>
    <xf numFmtId="1" fontId="9" fillId="8" borderId="1" xfId="2" applyNumberFormat="1" applyFill="1" applyBorder="1" applyAlignment="1">
      <alignment horizontal="right"/>
    </xf>
    <xf numFmtId="2" fontId="9" fillId="0" borderId="0" xfId="2" applyNumberFormat="1"/>
    <xf numFmtId="167" fontId="9" fillId="0" borderId="0" xfId="2" applyNumberFormat="1" applyAlignment="1">
      <alignment horizontal="right"/>
    </xf>
    <xf numFmtId="1" fontId="9" fillId="0" borderId="0" xfId="2" applyNumberFormat="1" applyAlignment="1">
      <alignment horizontal="right"/>
    </xf>
    <xf numFmtId="0" fontId="0" fillId="0" borderId="1" xfId="0" applyBorder="1" applyAlignment="1">
      <alignment horizontal="center" vertical="center"/>
    </xf>
    <xf numFmtId="167" fontId="9" fillId="0" borderId="0" xfId="2" applyNumberFormat="1" applyBorder="1" applyAlignment="1">
      <alignment horizontal="right"/>
    </xf>
    <xf numFmtId="0" fontId="0" fillId="0" borderId="0" xfId="0" applyBorder="1"/>
    <xf numFmtId="0" fontId="1" fillId="2" borderId="0" xfId="0" applyFont="1" applyFill="1" applyBorder="1" applyAlignment="1">
      <alignment horizontal="center"/>
    </xf>
    <xf numFmtId="2" fontId="0" fillId="0" borderId="0" xfId="0" applyNumberFormat="1" applyBorder="1"/>
    <xf numFmtId="2" fontId="1" fillId="2" borderId="0" xfId="0" applyNumberFormat="1" applyFont="1" applyFill="1" applyBorder="1"/>
    <xf numFmtId="0" fontId="1" fillId="2" borderId="22" xfId="0" applyFont="1" applyFill="1" applyBorder="1"/>
    <xf numFmtId="0" fontId="1" fillId="2" borderId="23" xfId="0" applyFont="1" applyFill="1" applyBorder="1" applyAlignment="1">
      <alignment horizont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1" fillId="2" borderId="24" xfId="0" applyNumberFormat="1" applyFont="1" applyFill="1" applyBorder="1" applyAlignment="1">
      <alignment horizontal="right"/>
    </xf>
    <xf numFmtId="1" fontId="0" fillId="0" borderId="1" xfId="0" applyNumberForma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20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0" xfId="0" applyNumberFormat="1" applyFill="1" applyBorder="1"/>
    <xf numFmtId="168" fontId="0" fillId="0" borderId="0" xfId="0" applyNumberFormat="1"/>
    <xf numFmtId="16" fontId="0" fillId="0" borderId="0" xfId="0" applyNumberFormat="1"/>
    <xf numFmtId="164" fontId="1" fillId="0" borderId="0" xfId="0" applyNumberFormat="1" applyFont="1"/>
    <xf numFmtId="0" fontId="1" fillId="0" borderId="0" xfId="0" applyFont="1" applyFill="1" applyBorder="1" applyAlignment="1"/>
    <xf numFmtId="2" fontId="1" fillId="0" borderId="0" xfId="0" applyNumberFormat="1" applyFont="1" applyFill="1" applyBorder="1" applyAlignment="1"/>
    <xf numFmtId="0" fontId="0" fillId="0" borderId="1" xfId="0" applyBorder="1" applyAlignment="1">
      <alignment horizontal="center" vertical="center"/>
    </xf>
    <xf numFmtId="3" fontId="0" fillId="2" borderId="0" xfId="0" applyNumberForma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165" fontId="0" fillId="0" borderId="0" xfId="0" applyNumberFormat="1"/>
    <xf numFmtId="3" fontId="0" fillId="4" borderId="0" xfId="0" applyNumberFormat="1" applyFill="1"/>
    <xf numFmtId="3" fontId="0" fillId="0" borderId="0" xfId="0" applyNumberFormat="1" applyFill="1"/>
    <xf numFmtId="0" fontId="2" fillId="0" borderId="0" xfId="0" applyFont="1" applyFill="1" applyAlignment="1">
      <alignment horizontal="center"/>
    </xf>
    <xf numFmtId="0" fontId="0" fillId="10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18" fillId="10" borderId="0" xfId="0" applyFont="1" applyFill="1"/>
    <xf numFmtId="0" fontId="18" fillId="10" borderId="0" xfId="0" applyFont="1" applyFill="1" applyAlignment="1">
      <alignment horizontal="center"/>
    </xf>
    <xf numFmtId="0" fontId="19" fillId="0" borderId="0" xfId="0" applyFont="1"/>
    <xf numFmtId="164" fontId="0" fillId="0" borderId="0" xfId="0" applyNumberFormat="1" applyFill="1"/>
    <xf numFmtId="0" fontId="20" fillId="0" borderId="0" xfId="0" applyFont="1" applyFill="1"/>
    <xf numFmtId="0" fontId="18" fillId="0" borderId="0" xfId="0" applyFont="1" applyFill="1"/>
    <xf numFmtId="0" fontId="18" fillId="0" borderId="0" xfId="0" applyFont="1" applyFill="1" applyAlignment="1">
      <alignment horizontal="center"/>
    </xf>
    <xf numFmtId="0" fontId="0" fillId="0" borderId="1" xfId="0" applyBorder="1" applyAlignment="1">
      <alignment horizontal="right"/>
    </xf>
    <xf numFmtId="165" fontId="0" fillId="0" borderId="1" xfId="0" applyNumberFormat="1" applyBorder="1"/>
    <xf numFmtId="0" fontId="2" fillId="0" borderId="1" xfId="0" applyFont="1" applyFill="1" applyBorder="1" applyAlignment="1">
      <alignment horizontal="center"/>
    </xf>
    <xf numFmtId="3" fontId="0" fillId="0" borderId="1" xfId="0" applyNumberFormat="1" applyFill="1" applyBorder="1"/>
    <xf numFmtId="0" fontId="0" fillId="10" borderId="1" xfId="0" applyFill="1" applyBorder="1"/>
    <xf numFmtId="0" fontId="18" fillId="10" borderId="1" xfId="0" applyFont="1" applyFill="1" applyBorder="1"/>
    <xf numFmtId="0" fontId="18" fillId="10" borderId="1" xfId="0" applyFont="1" applyFill="1" applyBorder="1" applyAlignment="1">
      <alignment horizontal="center"/>
    </xf>
    <xf numFmtId="17" fontId="0" fillId="0" borderId="1" xfId="0" quotePrefix="1" applyNumberFormat="1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22" fillId="0" borderId="0" xfId="0" applyFont="1"/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24" fillId="0" borderId="3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" fillId="0" borderId="25" xfId="0" applyFont="1" applyBorder="1"/>
    <xf numFmtId="0" fontId="0" fillId="0" borderId="26" xfId="0" applyBorder="1"/>
    <xf numFmtId="0" fontId="0" fillId="0" borderId="26" xfId="0" applyBorder="1" applyAlignment="1">
      <alignment horizontal="center"/>
    </xf>
    <xf numFmtId="2" fontId="1" fillId="2" borderId="27" xfId="0" applyNumberFormat="1" applyFont="1" applyFill="1" applyBorder="1" applyAlignment="1">
      <alignment horizontal="center"/>
    </xf>
    <xf numFmtId="0" fontId="0" fillId="0" borderId="28" xfId="0" applyBorder="1"/>
    <xf numFmtId="0" fontId="21" fillId="0" borderId="29" xfId="0" applyFont="1" applyBorder="1"/>
    <xf numFmtId="0" fontId="0" fillId="0" borderId="29" xfId="0" applyBorder="1" applyAlignment="1">
      <alignment horizontal="center"/>
    </xf>
    <xf numFmtId="2" fontId="0" fillId="0" borderId="30" xfId="0" applyNumberFormat="1" applyBorder="1" applyAlignment="1">
      <alignment horizontal="center"/>
    </xf>
    <xf numFmtId="0" fontId="21" fillId="0" borderId="0" xfId="0" applyFont="1"/>
    <xf numFmtId="0" fontId="0" fillId="0" borderId="31" xfId="0" applyBorder="1"/>
    <xf numFmtId="0" fontId="0" fillId="0" borderId="0" xfId="0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2" fontId="18" fillId="0" borderId="32" xfId="0" applyNumberFormat="1" applyFont="1" applyFill="1" applyBorder="1" applyAlignment="1">
      <alignment horizontal="center"/>
    </xf>
    <xf numFmtId="0" fontId="18" fillId="0" borderId="0" xfId="0" applyFont="1" applyFill="1" applyBorder="1"/>
    <xf numFmtId="0" fontId="18" fillId="0" borderId="29" xfId="0" applyFont="1" applyFill="1" applyBorder="1"/>
    <xf numFmtId="0" fontId="18" fillId="0" borderId="29" xfId="0" applyFont="1" applyFill="1" applyBorder="1" applyAlignment="1">
      <alignment horizontal="center"/>
    </xf>
    <xf numFmtId="2" fontId="18" fillId="0" borderId="30" xfId="0" applyNumberFormat="1" applyFont="1" applyFill="1" applyBorder="1" applyAlignment="1">
      <alignment horizontal="center"/>
    </xf>
    <xf numFmtId="0" fontId="0" fillId="0" borderId="0" xfId="0" applyAlignment="1"/>
    <xf numFmtId="2" fontId="0" fillId="0" borderId="3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169" fontId="0" fillId="2" borderId="0" xfId="0" applyNumberForma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6" fillId="0" borderId="0" xfId="0" applyFont="1"/>
    <xf numFmtId="0" fontId="0" fillId="11" borderId="1" xfId="0" applyFill="1" applyBorder="1" applyAlignment="1">
      <alignment horizontal="center"/>
    </xf>
    <xf numFmtId="164" fontId="0" fillId="11" borderId="6" xfId="0" applyNumberFormat="1" applyFill="1" applyBorder="1" applyAlignment="1">
      <alignment horizontal="center"/>
    </xf>
    <xf numFmtId="1" fontId="0" fillId="11" borderId="1" xfId="0" applyNumberForma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6" fontId="0" fillId="0" borderId="0" xfId="1" applyNumberFormat="1" applyFont="1"/>
    <xf numFmtId="3" fontId="0" fillId="0" borderId="0" xfId="0" applyNumberFormat="1"/>
    <xf numFmtId="0" fontId="27" fillId="0" borderId="0" xfId="5"/>
    <xf numFmtId="0" fontId="32" fillId="0" borderId="12" xfId="5" applyFont="1" applyBorder="1" applyAlignment="1">
      <alignment horizontal="center" vertical="center" wrapText="1"/>
    </xf>
    <xf numFmtId="0" fontId="32" fillId="0" borderId="13" xfId="5" applyFont="1" applyBorder="1" applyAlignment="1">
      <alignment horizontal="center" vertical="center"/>
    </xf>
    <xf numFmtId="0" fontId="32" fillId="0" borderId="13" xfId="5" applyFont="1" applyBorder="1" applyAlignment="1">
      <alignment horizontal="center" vertical="center" wrapText="1"/>
    </xf>
    <xf numFmtId="0" fontId="32" fillId="0" borderId="14" xfId="5" applyFont="1" applyBorder="1" applyAlignment="1">
      <alignment horizontal="center" vertical="center"/>
    </xf>
    <xf numFmtId="0" fontId="31" fillId="0" borderId="35" xfId="5" applyFont="1" applyBorder="1" applyAlignment="1">
      <alignment horizontal="left" vertical="center" wrapText="1"/>
    </xf>
    <xf numFmtId="0" fontId="31" fillId="12" borderId="35" xfId="5" applyFont="1" applyFill="1" applyBorder="1"/>
    <xf numFmtId="0" fontId="31" fillId="0" borderId="36" xfId="5" applyFont="1" applyBorder="1" applyAlignment="1">
      <alignment horizontal="right" vertical="center"/>
    </xf>
    <xf numFmtId="0" fontId="31" fillId="0" borderId="38" xfId="5" applyFont="1" applyBorder="1" applyAlignment="1">
      <alignment horizontal="left" vertical="center" wrapText="1"/>
    </xf>
    <xf numFmtId="0" fontId="31" fillId="12" borderId="38" xfId="5" applyFont="1" applyFill="1" applyBorder="1"/>
    <xf numFmtId="0" fontId="31" fillId="0" borderId="39" xfId="5" applyFont="1" applyBorder="1" applyAlignment="1">
      <alignment horizontal="right" vertical="center"/>
    </xf>
    <xf numFmtId="0" fontId="31" fillId="13" borderId="38" xfId="5" applyFont="1" applyFill="1" applyBorder="1"/>
    <xf numFmtId="0" fontId="31" fillId="13" borderId="41" xfId="5" applyFont="1" applyFill="1" applyBorder="1"/>
    <xf numFmtId="0" fontId="31" fillId="0" borderId="41" xfId="5" applyFont="1" applyBorder="1" applyAlignment="1">
      <alignment horizontal="left" vertical="center" wrapText="1"/>
    </xf>
    <xf numFmtId="0" fontId="31" fillId="0" borderId="42" xfId="5" applyFont="1" applyBorder="1" applyAlignment="1">
      <alignment horizontal="right" vertical="center"/>
    </xf>
    <xf numFmtId="0" fontId="31" fillId="0" borderId="35" xfId="5" applyFont="1" applyBorder="1"/>
    <xf numFmtId="0" fontId="31" fillId="0" borderId="38" xfId="5" applyFont="1" applyBorder="1"/>
    <xf numFmtId="0" fontId="31" fillId="0" borderId="38" xfId="5" applyFont="1" applyFill="1" applyBorder="1" applyAlignment="1">
      <alignment horizontal="left" vertical="center" wrapText="1"/>
    </xf>
    <xf numFmtId="0" fontId="31" fillId="0" borderId="38" xfId="5" applyFont="1" applyBorder="1" applyAlignment="1">
      <alignment horizontal="right" vertical="center"/>
    </xf>
    <xf numFmtId="0" fontId="31" fillId="0" borderId="41" xfId="5" applyFont="1" applyBorder="1" applyAlignment="1">
      <alignment horizontal="right" vertical="center"/>
    </xf>
    <xf numFmtId="0" fontId="31" fillId="0" borderId="41" xfId="5" applyFont="1" applyBorder="1"/>
    <xf numFmtId="0" fontId="31" fillId="0" borderId="38" xfId="5" applyFont="1" applyBorder="1" applyAlignment="1">
      <alignment vertical="center"/>
    </xf>
    <xf numFmtId="0" fontId="31" fillId="0" borderId="38" xfId="5" applyFont="1" applyBorder="1" applyAlignment="1">
      <alignment horizontal="left" vertical="center"/>
    </xf>
    <xf numFmtId="0" fontId="31" fillId="0" borderId="41" xfId="5" applyFont="1" applyBorder="1" applyAlignment="1">
      <alignment horizontal="left" vertical="center"/>
    </xf>
    <xf numFmtId="0" fontId="31" fillId="0" borderId="38" xfId="5" applyFont="1" applyFill="1" applyBorder="1" applyAlignment="1">
      <alignment vertical="center"/>
    </xf>
    <xf numFmtId="0" fontId="31" fillId="0" borderId="48" xfId="5" applyFont="1" applyBorder="1"/>
    <xf numFmtId="0" fontId="31" fillId="0" borderId="38" xfId="5" applyFont="1" applyBorder="1" applyAlignment="1">
      <alignment horizontal="right" vertical="center" wrapText="1"/>
    </xf>
    <xf numFmtId="0" fontId="31" fillId="0" borderId="35" xfId="5" applyFont="1" applyBorder="1" applyAlignment="1">
      <alignment horizontal="right" vertical="center" wrapText="1"/>
    </xf>
    <xf numFmtId="49" fontId="31" fillId="0" borderId="38" xfId="5" applyNumberFormat="1" applyFont="1" applyBorder="1" applyAlignment="1">
      <alignment horizontal="left" vertical="center" wrapText="1"/>
    </xf>
    <xf numFmtId="49" fontId="31" fillId="0" borderId="41" xfId="5" applyNumberFormat="1" applyFont="1" applyBorder="1" applyAlignment="1">
      <alignment horizontal="left" vertical="center" wrapText="1"/>
    </xf>
    <xf numFmtId="0" fontId="31" fillId="0" borderId="0" xfId="5" applyFont="1"/>
    <xf numFmtId="0" fontId="31" fillId="0" borderId="0" xfId="5" applyFont="1" applyAlignment="1">
      <alignment wrapText="1"/>
    </xf>
    <xf numFmtId="0" fontId="27" fillId="0" borderId="0" xfId="5" applyAlignment="1">
      <alignment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0" xfId="0" applyBorder="1"/>
    <xf numFmtId="0" fontId="1" fillId="0" borderId="22" xfId="0" applyFont="1" applyBorder="1"/>
    <xf numFmtId="0" fontId="1" fillId="0" borderId="23" xfId="0" applyFont="1" applyBorder="1" applyAlignment="1">
      <alignment horizontal="center"/>
    </xf>
    <xf numFmtId="1" fontId="1" fillId="2" borderId="24" xfId="0" applyNumberFormat="1" applyFont="1" applyFill="1" applyBorder="1"/>
    <xf numFmtId="0" fontId="28" fillId="0" borderId="22" xfId="5" applyFont="1" applyBorder="1" applyAlignment="1">
      <alignment horizontal="center" wrapText="1"/>
    </xf>
    <xf numFmtId="0" fontId="28" fillId="0" borderId="23" xfId="5" applyFont="1" applyBorder="1" applyAlignment="1">
      <alignment horizontal="center" wrapText="1"/>
    </xf>
    <xf numFmtId="0" fontId="28" fillId="0" borderId="33" xfId="5" applyFont="1" applyBorder="1" applyAlignment="1">
      <alignment horizontal="center" wrapText="1"/>
    </xf>
    <xf numFmtId="0" fontId="32" fillId="0" borderId="34" xfId="5" applyFont="1" applyBorder="1" applyAlignment="1">
      <alignment horizontal="left" vertical="center" wrapText="1"/>
    </xf>
    <xf numFmtId="0" fontId="32" fillId="0" borderId="37" xfId="5" applyFont="1" applyBorder="1" applyAlignment="1">
      <alignment horizontal="left" vertical="center" wrapText="1"/>
    </xf>
    <xf numFmtId="0" fontId="32" fillId="0" borderId="40" xfId="5" applyFont="1" applyBorder="1" applyAlignment="1">
      <alignment horizontal="left" vertical="center" wrapText="1"/>
    </xf>
    <xf numFmtId="0" fontId="31" fillId="0" borderId="38" xfId="5" applyFont="1" applyBorder="1" applyAlignment="1">
      <alignment horizontal="left" vertical="center" wrapText="1"/>
    </xf>
    <xf numFmtId="0" fontId="31" fillId="0" borderId="41" xfId="5" applyFont="1" applyBorder="1" applyAlignment="1">
      <alignment horizontal="left" vertical="center" wrapText="1"/>
    </xf>
    <xf numFmtId="0" fontId="31" fillId="0" borderId="35" xfId="5" applyFont="1" applyBorder="1" applyAlignment="1">
      <alignment horizontal="left" vertical="center" wrapText="1"/>
    </xf>
    <xf numFmtId="0" fontId="31" fillId="0" borderId="37" xfId="5" applyFont="1" applyBorder="1"/>
    <xf numFmtId="0" fontId="31" fillId="0" borderId="40" xfId="5" applyFont="1" applyBorder="1"/>
    <xf numFmtId="0" fontId="32" fillId="0" borderId="43" xfId="5" applyFont="1" applyBorder="1" applyAlignment="1">
      <alignment horizontal="left" vertical="center" wrapText="1"/>
    </xf>
    <xf numFmtId="0" fontId="32" fillId="0" borderId="44" xfId="5" applyFont="1" applyBorder="1" applyAlignment="1">
      <alignment horizontal="left" vertical="center" wrapText="1"/>
    </xf>
    <xf numFmtId="0" fontId="32" fillId="0" borderId="45" xfId="5" applyFont="1" applyBorder="1" applyAlignment="1">
      <alignment horizontal="left" vertical="center" wrapText="1"/>
    </xf>
    <xf numFmtId="0" fontId="32" fillId="0" borderId="46" xfId="5" applyFont="1" applyBorder="1" applyAlignment="1">
      <alignment horizontal="left" vertical="center" wrapText="1"/>
    </xf>
    <xf numFmtId="0" fontId="32" fillId="0" borderId="44" xfId="5" applyFont="1" applyBorder="1" applyAlignment="1">
      <alignment horizontal="left" vertical="center"/>
    </xf>
    <xf numFmtId="0" fontId="32" fillId="0" borderId="47" xfId="5" applyFont="1" applyBorder="1" applyAlignment="1">
      <alignment horizontal="left" vertical="center"/>
    </xf>
    <xf numFmtId="0" fontId="31" fillId="0" borderId="35" xfId="5" applyFont="1" applyBorder="1" applyAlignment="1">
      <alignment horizontal="center" vertical="center" wrapText="1"/>
    </xf>
    <xf numFmtId="0" fontId="31" fillId="0" borderId="38" xfId="5" applyFont="1" applyBorder="1" applyAlignment="1">
      <alignment horizontal="center" vertical="center" wrapText="1"/>
    </xf>
    <xf numFmtId="0" fontId="31" fillId="0" borderId="41" xfId="5" applyFont="1" applyBorder="1" applyAlignment="1">
      <alignment horizontal="left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4" borderId="20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49" xfId="0" applyBorder="1"/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/>
    <xf numFmtId="0" fontId="0" fillId="0" borderId="21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/>
    <xf numFmtId="0" fontId="0" fillId="0" borderId="5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2" fillId="0" borderId="50" xfId="0" applyFon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0" fillId="0" borderId="55" xfId="0" applyNumberFormat="1" applyBorder="1" applyAlignment="1">
      <alignment horizontal="center"/>
    </xf>
    <xf numFmtId="0" fontId="1" fillId="0" borderId="52" xfId="0" applyFont="1" applyBorder="1"/>
    <xf numFmtId="0" fontId="7" fillId="0" borderId="21" xfId="0" applyFont="1" applyBorder="1" applyAlignment="1">
      <alignment horizontal="center"/>
    </xf>
    <xf numFmtId="164" fontId="1" fillId="2" borderId="53" xfId="0" applyNumberFormat="1" applyFont="1" applyFill="1" applyBorder="1" applyAlignment="1">
      <alignment horizontal="center"/>
    </xf>
  </cellXfs>
  <cellStyles count="6">
    <cellStyle name="Normal" xfId="0" builtinId="0"/>
    <cellStyle name="Normal 2" xfId="2"/>
    <cellStyle name="Normal 3" xfId="5"/>
    <cellStyle name="Percentagem" xfId="1" builtinId="5"/>
    <cellStyle name="Percentagem 2" xfId="4"/>
    <cellStyle name="Percentagem 2 2" xfId="3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8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1</xdr:row>
      <xdr:rowOff>47625</xdr:rowOff>
    </xdr:from>
    <xdr:to>
      <xdr:col>4</xdr:col>
      <xdr:colOff>182880</xdr:colOff>
      <xdr:row>15</xdr:row>
      <xdr:rowOff>352425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1475" y="238125"/>
          <a:ext cx="2202180" cy="3371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9525</xdr:colOff>
      <xdr:row>8</xdr:row>
      <xdr:rowOff>152755</xdr:rowOff>
    </xdr:to>
    <xdr:pic>
      <xdr:nvPicPr>
        <xdr:cNvPr id="387" name="Imagem 38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0"/>
          <a:ext cx="3009900" cy="14862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1123950</xdr:colOff>
      <xdr:row>26</xdr:row>
      <xdr:rowOff>104775</xdr:rowOff>
    </xdr:from>
    <xdr:to>
      <xdr:col>11</xdr:col>
      <xdr:colOff>104775</xdr:colOff>
      <xdr:row>50</xdr:row>
      <xdr:rowOff>47455</xdr:rowOff>
    </xdr:to>
    <xdr:pic>
      <xdr:nvPicPr>
        <xdr:cNvPr id="2" name="Imagem 1" descr="Image2_disj3"/>
        <xdr:cNvPicPr/>
      </xdr:nvPicPr>
      <xdr:blipFill>
        <a:blip xmlns:r="http://schemas.openxmlformats.org/officeDocument/2006/relationships" r:embed="rId1" cstate="print"/>
        <a:srcRect l="50135"/>
        <a:stretch>
          <a:fillRect/>
        </a:stretch>
      </xdr:blipFill>
      <xdr:spPr bwMode="auto">
        <a:xfrm>
          <a:off x="8591550" y="4381500"/>
          <a:ext cx="2952750" cy="3828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333374</xdr:colOff>
      <xdr:row>33</xdr:row>
      <xdr:rowOff>12246</xdr:rowOff>
    </xdr:from>
    <xdr:to>
      <xdr:col>14</xdr:col>
      <xdr:colOff>269227</xdr:colOff>
      <xdr:row>53</xdr:row>
      <xdr:rowOff>76200</xdr:rowOff>
    </xdr:to>
    <xdr:pic>
      <xdr:nvPicPr>
        <xdr:cNvPr id="2" name="Imagem 1" descr="Image1_cab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43824" y="5422446"/>
          <a:ext cx="4812653" cy="33024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274289</xdr:colOff>
      <xdr:row>38</xdr:row>
      <xdr:rowOff>85724</xdr:rowOff>
    </xdr:from>
    <xdr:to>
      <xdr:col>14</xdr:col>
      <xdr:colOff>371474</xdr:colOff>
      <xdr:row>72</xdr:row>
      <xdr:rowOff>28574</xdr:rowOff>
    </xdr:to>
    <xdr:pic>
      <xdr:nvPicPr>
        <xdr:cNvPr id="2" name="Picture 10" descr="Image1_di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56214" y="6305549"/>
          <a:ext cx="4364385" cy="5476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4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oleObject7.bin"/><Relationship Id="rId5" Type="http://schemas.openxmlformats.org/officeDocument/2006/relationships/oleObject" Target="../embeddings/oleObject6.bin"/><Relationship Id="rId4" Type="http://schemas.openxmlformats.org/officeDocument/2006/relationships/oleObject" Target="../embeddings/oleObject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8.bin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866"/>
  <sheetViews>
    <sheetView zoomScaleNormal="100" workbookViewId="0">
      <selection activeCell="B28" sqref="B28:B31"/>
    </sheetView>
  </sheetViews>
  <sheetFormatPr defaultRowHeight="12.75"/>
  <cols>
    <col min="1" max="1" width="14.140625" style="296" customWidth="1"/>
    <col min="2" max="2" width="24.5703125" style="296" customWidth="1"/>
    <col min="3" max="3" width="10.7109375" style="296" customWidth="1"/>
    <col min="4" max="4" width="40.42578125" style="296" customWidth="1"/>
    <col min="5" max="5" width="8" style="296" customWidth="1"/>
    <col min="6" max="256" width="9.140625" style="296"/>
    <col min="257" max="257" width="14.140625" style="296" customWidth="1"/>
    <col min="258" max="258" width="24.5703125" style="296" customWidth="1"/>
    <col min="259" max="259" width="10.7109375" style="296" customWidth="1"/>
    <col min="260" max="260" width="40.42578125" style="296" customWidth="1"/>
    <col min="261" max="261" width="8" style="296" customWidth="1"/>
    <col min="262" max="512" width="9.140625" style="296"/>
    <col min="513" max="513" width="14.140625" style="296" customWidth="1"/>
    <col min="514" max="514" width="24.5703125" style="296" customWidth="1"/>
    <col min="515" max="515" width="10.7109375" style="296" customWidth="1"/>
    <col min="516" max="516" width="40.42578125" style="296" customWidth="1"/>
    <col min="517" max="517" width="8" style="296" customWidth="1"/>
    <col min="518" max="768" width="9.140625" style="296"/>
    <col min="769" max="769" width="14.140625" style="296" customWidth="1"/>
    <col min="770" max="770" width="24.5703125" style="296" customWidth="1"/>
    <col min="771" max="771" width="10.7109375" style="296" customWidth="1"/>
    <col min="772" max="772" width="40.42578125" style="296" customWidth="1"/>
    <col min="773" max="773" width="8" style="296" customWidth="1"/>
    <col min="774" max="1024" width="9.140625" style="296"/>
    <col min="1025" max="1025" width="14.140625" style="296" customWidth="1"/>
    <col min="1026" max="1026" width="24.5703125" style="296" customWidth="1"/>
    <col min="1027" max="1027" width="10.7109375" style="296" customWidth="1"/>
    <col min="1028" max="1028" width="40.42578125" style="296" customWidth="1"/>
    <col min="1029" max="1029" width="8" style="296" customWidth="1"/>
    <col min="1030" max="1280" width="9.140625" style="296"/>
    <col min="1281" max="1281" width="14.140625" style="296" customWidth="1"/>
    <col min="1282" max="1282" width="24.5703125" style="296" customWidth="1"/>
    <col min="1283" max="1283" width="10.7109375" style="296" customWidth="1"/>
    <col min="1284" max="1284" width="40.42578125" style="296" customWidth="1"/>
    <col min="1285" max="1285" width="8" style="296" customWidth="1"/>
    <col min="1286" max="1536" width="9.140625" style="296"/>
    <col min="1537" max="1537" width="14.140625" style="296" customWidth="1"/>
    <col min="1538" max="1538" width="24.5703125" style="296" customWidth="1"/>
    <col min="1539" max="1539" width="10.7109375" style="296" customWidth="1"/>
    <col min="1540" max="1540" width="40.42578125" style="296" customWidth="1"/>
    <col min="1541" max="1541" width="8" style="296" customWidth="1"/>
    <col min="1542" max="1792" width="9.140625" style="296"/>
    <col min="1793" max="1793" width="14.140625" style="296" customWidth="1"/>
    <col min="1794" max="1794" width="24.5703125" style="296" customWidth="1"/>
    <col min="1795" max="1795" width="10.7109375" style="296" customWidth="1"/>
    <col min="1796" max="1796" width="40.42578125" style="296" customWidth="1"/>
    <col min="1797" max="1797" width="8" style="296" customWidth="1"/>
    <col min="1798" max="2048" width="9.140625" style="296"/>
    <col min="2049" max="2049" width="14.140625" style="296" customWidth="1"/>
    <col min="2050" max="2050" width="24.5703125" style="296" customWidth="1"/>
    <col min="2051" max="2051" width="10.7109375" style="296" customWidth="1"/>
    <col min="2052" max="2052" width="40.42578125" style="296" customWidth="1"/>
    <col min="2053" max="2053" width="8" style="296" customWidth="1"/>
    <col min="2054" max="2304" width="9.140625" style="296"/>
    <col min="2305" max="2305" width="14.140625" style="296" customWidth="1"/>
    <col min="2306" max="2306" width="24.5703125" style="296" customWidth="1"/>
    <col min="2307" max="2307" width="10.7109375" style="296" customWidth="1"/>
    <col min="2308" max="2308" width="40.42578125" style="296" customWidth="1"/>
    <col min="2309" max="2309" width="8" style="296" customWidth="1"/>
    <col min="2310" max="2560" width="9.140625" style="296"/>
    <col min="2561" max="2561" width="14.140625" style="296" customWidth="1"/>
    <col min="2562" max="2562" width="24.5703125" style="296" customWidth="1"/>
    <col min="2563" max="2563" width="10.7109375" style="296" customWidth="1"/>
    <col min="2564" max="2564" width="40.42578125" style="296" customWidth="1"/>
    <col min="2565" max="2565" width="8" style="296" customWidth="1"/>
    <col min="2566" max="2816" width="9.140625" style="296"/>
    <col min="2817" max="2817" width="14.140625" style="296" customWidth="1"/>
    <col min="2818" max="2818" width="24.5703125" style="296" customWidth="1"/>
    <col min="2819" max="2819" width="10.7109375" style="296" customWidth="1"/>
    <col min="2820" max="2820" width="40.42578125" style="296" customWidth="1"/>
    <col min="2821" max="2821" width="8" style="296" customWidth="1"/>
    <col min="2822" max="3072" width="9.140625" style="296"/>
    <col min="3073" max="3073" width="14.140625" style="296" customWidth="1"/>
    <col min="3074" max="3074" width="24.5703125" style="296" customWidth="1"/>
    <col min="3075" max="3075" width="10.7109375" style="296" customWidth="1"/>
    <col min="3076" max="3076" width="40.42578125" style="296" customWidth="1"/>
    <col min="3077" max="3077" width="8" style="296" customWidth="1"/>
    <col min="3078" max="3328" width="9.140625" style="296"/>
    <col min="3329" max="3329" width="14.140625" style="296" customWidth="1"/>
    <col min="3330" max="3330" width="24.5703125" style="296" customWidth="1"/>
    <col min="3331" max="3331" width="10.7109375" style="296" customWidth="1"/>
    <col min="3332" max="3332" width="40.42578125" style="296" customWidth="1"/>
    <col min="3333" max="3333" width="8" style="296" customWidth="1"/>
    <col min="3334" max="3584" width="9.140625" style="296"/>
    <col min="3585" max="3585" width="14.140625" style="296" customWidth="1"/>
    <col min="3586" max="3586" width="24.5703125" style="296" customWidth="1"/>
    <col min="3587" max="3587" width="10.7109375" style="296" customWidth="1"/>
    <col min="3588" max="3588" width="40.42578125" style="296" customWidth="1"/>
    <col min="3589" max="3589" width="8" style="296" customWidth="1"/>
    <col min="3590" max="3840" width="9.140625" style="296"/>
    <col min="3841" max="3841" width="14.140625" style="296" customWidth="1"/>
    <col min="3842" max="3842" width="24.5703125" style="296" customWidth="1"/>
    <col min="3843" max="3843" width="10.7109375" style="296" customWidth="1"/>
    <col min="3844" max="3844" width="40.42578125" style="296" customWidth="1"/>
    <col min="3845" max="3845" width="8" style="296" customWidth="1"/>
    <col min="3846" max="4096" width="9.140625" style="296"/>
    <col min="4097" max="4097" width="14.140625" style="296" customWidth="1"/>
    <col min="4098" max="4098" width="24.5703125" style="296" customWidth="1"/>
    <col min="4099" max="4099" width="10.7109375" style="296" customWidth="1"/>
    <col min="4100" max="4100" width="40.42578125" style="296" customWidth="1"/>
    <col min="4101" max="4101" width="8" style="296" customWidth="1"/>
    <col min="4102" max="4352" width="9.140625" style="296"/>
    <col min="4353" max="4353" width="14.140625" style="296" customWidth="1"/>
    <col min="4354" max="4354" width="24.5703125" style="296" customWidth="1"/>
    <col min="4355" max="4355" width="10.7109375" style="296" customWidth="1"/>
    <col min="4356" max="4356" width="40.42578125" style="296" customWidth="1"/>
    <col min="4357" max="4357" width="8" style="296" customWidth="1"/>
    <col min="4358" max="4608" width="9.140625" style="296"/>
    <col min="4609" max="4609" width="14.140625" style="296" customWidth="1"/>
    <col min="4610" max="4610" width="24.5703125" style="296" customWidth="1"/>
    <col min="4611" max="4611" width="10.7109375" style="296" customWidth="1"/>
    <col min="4612" max="4612" width="40.42578125" style="296" customWidth="1"/>
    <col min="4613" max="4613" width="8" style="296" customWidth="1"/>
    <col min="4614" max="4864" width="9.140625" style="296"/>
    <col min="4865" max="4865" width="14.140625" style="296" customWidth="1"/>
    <col min="4866" max="4866" width="24.5703125" style="296" customWidth="1"/>
    <col min="4867" max="4867" width="10.7109375" style="296" customWidth="1"/>
    <col min="4868" max="4868" width="40.42578125" style="296" customWidth="1"/>
    <col min="4869" max="4869" width="8" style="296" customWidth="1"/>
    <col min="4870" max="5120" width="9.140625" style="296"/>
    <col min="5121" max="5121" width="14.140625" style="296" customWidth="1"/>
    <col min="5122" max="5122" width="24.5703125" style="296" customWidth="1"/>
    <col min="5123" max="5123" width="10.7109375" style="296" customWidth="1"/>
    <col min="5124" max="5124" width="40.42578125" style="296" customWidth="1"/>
    <col min="5125" max="5125" width="8" style="296" customWidth="1"/>
    <col min="5126" max="5376" width="9.140625" style="296"/>
    <col min="5377" max="5377" width="14.140625" style="296" customWidth="1"/>
    <col min="5378" max="5378" width="24.5703125" style="296" customWidth="1"/>
    <col min="5379" max="5379" width="10.7109375" style="296" customWidth="1"/>
    <col min="5380" max="5380" width="40.42578125" style="296" customWidth="1"/>
    <col min="5381" max="5381" width="8" style="296" customWidth="1"/>
    <col min="5382" max="5632" width="9.140625" style="296"/>
    <col min="5633" max="5633" width="14.140625" style="296" customWidth="1"/>
    <col min="5634" max="5634" width="24.5703125" style="296" customWidth="1"/>
    <col min="5635" max="5635" width="10.7109375" style="296" customWidth="1"/>
    <col min="5636" max="5636" width="40.42578125" style="296" customWidth="1"/>
    <col min="5637" max="5637" width="8" style="296" customWidth="1"/>
    <col min="5638" max="5888" width="9.140625" style="296"/>
    <col min="5889" max="5889" width="14.140625" style="296" customWidth="1"/>
    <col min="5890" max="5890" width="24.5703125" style="296" customWidth="1"/>
    <col min="5891" max="5891" width="10.7109375" style="296" customWidth="1"/>
    <col min="5892" max="5892" width="40.42578125" style="296" customWidth="1"/>
    <col min="5893" max="5893" width="8" style="296" customWidth="1"/>
    <col min="5894" max="6144" width="9.140625" style="296"/>
    <col min="6145" max="6145" width="14.140625" style="296" customWidth="1"/>
    <col min="6146" max="6146" width="24.5703125" style="296" customWidth="1"/>
    <col min="6147" max="6147" width="10.7109375" style="296" customWidth="1"/>
    <col min="6148" max="6148" width="40.42578125" style="296" customWidth="1"/>
    <col min="6149" max="6149" width="8" style="296" customWidth="1"/>
    <col min="6150" max="6400" width="9.140625" style="296"/>
    <col min="6401" max="6401" width="14.140625" style="296" customWidth="1"/>
    <col min="6402" max="6402" width="24.5703125" style="296" customWidth="1"/>
    <col min="6403" max="6403" width="10.7109375" style="296" customWidth="1"/>
    <col min="6404" max="6404" width="40.42578125" style="296" customWidth="1"/>
    <col min="6405" max="6405" width="8" style="296" customWidth="1"/>
    <col min="6406" max="6656" width="9.140625" style="296"/>
    <col min="6657" max="6657" width="14.140625" style="296" customWidth="1"/>
    <col min="6658" max="6658" width="24.5703125" style="296" customWidth="1"/>
    <col min="6659" max="6659" width="10.7109375" style="296" customWidth="1"/>
    <col min="6660" max="6660" width="40.42578125" style="296" customWidth="1"/>
    <col min="6661" max="6661" width="8" style="296" customWidth="1"/>
    <col min="6662" max="6912" width="9.140625" style="296"/>
    <col min="6913" max="6913" width="14.140625" style="296" customWidth="1"/>
    <col min="6914" max="6914" width="24.5703125" style="296" customWidth="1"/>
    <col min="6915" max="6915" width="10.7109375" style="296" customWidth="1"/>
    <col min="6916" max="6916" width="40.42578125" style="296" customWidth="1"/>
    <col min="6917" max="6917" width="8" style="296" customWidth="1"/>
    <col min="6918" max="7168" width="9.140625" style="296"/>
    <col min="7169" max="7169" width="14.140625" style="296" customWidth="1"/>
    <col min="7170" max="7170" width="24.5703125" style="296" customWidth="1"/>
    <col min="7171" max="7171" width="10.7109375" style="296" customWidth="1"/>
    <col min="7172" max="7172" width="40.42578125" style="296" customWidth="1"/>
    <col min="7173" max="7173" width="8" style="296" customWidth="1"/>
    <col min="7174" max="7424" width="9.140625" style="296"/>
    <col min="7425" max="7425" width="14.140625" style="296" customWidth="1"/>
    <col min="7426" max="7426" width="24.5703125" style="296" customWidth="1"/>
    <col min="7427" max="7427" width="10.7109375" style="296" customWidth="1"/>
    <col min="7428" max="7428" width="40.42578125" style="296" customWidth="1"/>
    <col min="7429" max="7429" width="8" style="296" customWidth="1"/>
    <col min="7430" max="7680" width="9.140625" style="296"/>
    <col min="7681" max="7681" width="14.140625" style="296" customWidth="1"/>
    <col min="7682" max="7682" width="24.5703125" style="296" customWidth="1"/>
    <col min="7683" max="7683" width="10.7109375" style="296" customWidth="1"/>
    <col min="7684" max="7684" width="40.42578125" style="296" customWidth="1"/>
    <col min="7685" max="7685" width="8" style="296" customWidth="1"/>
    <col min="7686" max="7936" width="9.140625" style="296"/>
    <col min="7937" max="7937" width="14.140625" style="296" customWidth="1"/>
    <col min="7938" max="7938" width="24.5703125" style="296" customWidth="1"/>
    <col min="7939" max="7939" width="10.7109375" style="296" customWidth="1"/>
    <col min="7940" max="7940" width="40.42578125" style="296" customWidth="1"/>
    <col min="7941" max="7941" width="8" style="296" customWidth="1"/>
    <col min="7942" max="8192" width="9.140625" style="296"/>
    <col min="8193" max="8193" width="14.140625" style="296" customWidth="1"/>
    <col min="8194" max="8194" width="24.5703125" style="296" customWidth="1"/>
    <col min="8195" max="8195" width="10.7109375" style="296" customWidth="1"/>
    <col min="8196" max="8196" width="40.42578125" style="296" customWidth="1"/>
    <col min="8197" max="8197" width="8" style="296" customWidth="1"/>
    <col min="8198" max="8448" width="9.140625" style="296"/>
    <col min="8449" max="8449" width="14.140625" style="296" customWidth="1"/>
    <col min="8450" max="8450" width="24.5703125" style="296" customWidth="1"/>
    <col min="8451" max="8451" width="10.7109375" style="296" customWidth="1"/>
    <col min="8452" max="8452" width="40.42578125" style="296" customWidth="1"/>
    <col min="8453" max="8453" width="8" style="296" customWidth="1"/>
    <col min="8454" max="8704" width="9.140625" style="296"/>
    <col min="8705" max="8705" width="14.140625" style="296" customWidth="1"/>
    <col min="8706" max="8706" width="24.5703125" style="296" customWidth="1"/>
    <col min="8707" max="8707" width="10.7109375" style="296" customWidth="1"/>
    <col min="8708" max="8708" width="40.42578125" style="296" customWidth="1"/>
    <col min="8709" max="8709" width="8" style="296" customWidth="1"/>
    <col min="8710" max="8960" width="9.140625" style="296"/>
    <col min="8961" max="8961" width="14.140625" style="296" customWidth="1"/>
    <col min="8962" max="8962" width="24.5703125" style="296" customWidth="1"/>
    <col min="8963" max="8963" width="10.7109375" style="296" customWidth="1"/>
    <col min="8964" max="8964" width="40.42578125" style="296" customWidth="1"/>
    <col min="8965" max="8965" width="8" style="296" customWidth="1"/>
    <col min="8966" max="9216" width="9.140625" style="296"/>
    <col min="9217" max="9217" width="14.140625" style="296" customWidth="1"/>
    <col min="9218" max="9218" width="24.5703125" style="296" customWidth="1"/>
    <col min="9219" max="9219" width="10.7109375" style="296" customWidth="1"/>
    <col min="9220" max="9220" width="40.42578125" style="296" customWidth="1"/>
    <col min="9221" max="9221" width="8" style="296" customWidth="1"/>
    <col min="9222" max="9472" width="9.140625" style="296"/>
    <col min="9473" max="9473" width="14.140625" style="296" customWidth="1"/>
    <col min="9474" max="9474" width="24.5703125" style="296" customWidth="1"/>
    <col min="9475" max="9475" width="10.7109375" style="296" customWidth="1"/>
    <col min="9476" max="9476" width="40.42578125" style="296" customWidth="1"/>
    <col min="9477" max="9477" width="8" style="296" customWidth="1"/>
    <col min="9478" max="9728" width="9.140625" style="296"/>
    <col min="9729" max="9729" width="14.140625" style="296" customWidth="1"/>
    <col min="9730" max="9730" width="24.5703125" style="296" customWidth="1"/>
    <col min="9731" max="9731" width="10.7109375" style="296" customWidth="1"/>
    <col min="9732" max="9732" width="40.42578125" style="296" customWidth="1"/>
    <col min="9733" max="9733" width="8" style="296" customWidth="1"/>
    <col min="9734" max="9984" width="9.140625" style="296"/>
    <col min="9985" max="9985" width="14.140625" style="296" customWidth="1"/>
    <col min="9986" max="9986" width="24.5703125" style="296" customWidth="1"/>
    <col min="9987" max="9987" width="10.7109375" style="296" customWidth="1"/>
    <col min="9988" max="9988" width="40.42578125" style="296" customWidth="1"/>
    <col min="9989" max="9989" width="8" style="296" customWidth="1"/>
    <col min="9990" max="10240" width="9.140625" style="296"/>
    <col min="10241" max="10241" width="14.140625" style="296" customWidth="1"/>
    <col min="10242" max="10242" width="24.5703125" style="296" customWidth="1"/>
    <col min="10243" max="10243" width="10.7109375" style="296" customWidth="1"/>
    <col min="10244" max="10244" width="40.42578125" style="296" customWidth="1"/>
    <col min="10245" max="10245" width="8" style="296" customWidth="1"/>
    <col min="10246" max="10496" width="9.140625" style="296"/>
    <col min="10497" max="10497" width="14.140625" style="296" customWidth="1"/>
    <col min="10498" max="10498" width="24.5703125" style="296" customWidth="1"/>
    <col min="10499" max="10499" width="10.7109375" style="296" customWidth="1"/>
    <col min="10500" max="10500" width="40.42578125" style="296" customWidth="1"/>
    <col min="10501" max="10501" width="8" style="296" customWidth="1"/>
    <col min="10502" max="10752" width="9.140625" style="296"/>
    <col min="10753" max="10753" width="14.140625" style="296" customWidth="1"/>
    <col min="10754" max="10754" width="24.5703125" style="296" customWidth="1"/>
    <col min="10755" max="10755" width="10.7109375" style="296" customWidth="1"/>
    <col min="10756" max="10756" width="40.42578125" style="296" customWidth="1"/>
    <col min="10757" max="10757" width="8" style="296" customWidth="1"/>
    <col min="10758" max="11008" width="9.140625" style="296"/>
    <col min="11009" max="11009" width="14.140625" style="296" customWidth="1"/>
    <col min="11010" max="11010" width="24.5703125" style="296" customWidth="1"/>
    <col min="11011" max="11011" width="10.7109375" style="296" customWidth="1"/>
    <col min="11012" max="11012" width="40.42578125" style="296" customWidth="1"/>
    <col min="11013" max="11013" width="8" style="296" customWidth="1"/>
    <col min="11014" max="11264" width="9.140625" style="296"/>
    <col min="11265" max="11265" width="14.140625" style="296" customWidth="1"/>
    <col min="11266" max="11266" width="24.5703125" style="296" customWidth="1"/>
    <col min="11267" max="11267" width="10.7109375" style="296" customWidth="1"/>
    <col min="11268" max="11268" width="40.42578125" style="296" customWidth="1"/>
    <col min="11269" max="11269" width="8" style="296" customWidth="1"/>
    <col min="11270" max="11520" width="9.140625" style="296"/>
    <col min="11521" max="11521" width="14.140625" style="296" customWidth="1"/>
    <col min="11522" max="11522" width="24.5703125" style="296" customWidth="1"/>
    <col min="11523" max="11523" width="10.7109375" style="296" customWidth="1"/>
    <col min="11524" max="11524" width="40.42578125" style="296" customWidth="1"/>
    <col min="11525" max="11525" width="8" style="296" customWidth="1"/>
    <col min="11526" max="11776" width="9.140625" style="296"/>
    <col min="11777" max="11777" width="14.140625" style="296" customWidth="1"/>
    <col min="11778" max="11778" width="24.5703125" style="296" customWidth="1"/>
    <col min="11779" max="11779" width="10.7109375" style="296" customWidth="1"/>
    <col min="11780" max="11780" width="40.42578125" style="296" customWidth="1"/>
    <col min="11781" max="11781" width="8" style="296" customWidth="1"/>
    <col min="11782" max="12032" width="9.140625" style="296"/>
    <col min="12033" max="12033" width="14.140625" style="296" customWidth="1"/>
    <col min="12034" max="12034" width="24.5703125" style="296" customWidth="1"/>
    <col min="12035" max="12035" width="10.7109375" style="296" customWidth="1"/>
    <col min="12036" max="12036" width="40.42578125" style="296" customWidth="1"/>
    <col min="12037" max="12037" width="8" style="296" customWidth="1"/>
    <col min="12038" max="12288" width="9.140625" style="296"/>
    <col min="12289" max="12289" width="14.140625" style="296" customWidth="1"/>
    <col min="12290" max="12290" width="24.5703125" style="296" customWidth="1"/>
    <col min="12291" max="12291" width="10.7109375" style="296" customWidth="1"/>
    <col min="12292" max="12292" width="40.42578125" style="296" customWidth="1"/>
    <col min="12293" max="12293" width="8" style="296" customWidth="1"/>
    <col min="12294" max="12544" width="9.140625" style="296"/>
    <col min="12545" max="12545" width="14.140625" style="296" customWidth="1"/>
    <col min="12546" max="12546" width="24.5703125" style="296" customWidth="1"/>
    <col min="12547" max="12547" width="10.7109375" style="296" customWidth="1"/>
    <col min="12548" max="12548" width="40.42578125" style="296" customWidth="1"/>
    <col min="12549" max="12549" width="8" style="296" customWidth="1"/>
    <col min="12550" max="12800" width="9.140625" style="296"/>
    <col min="12801" max="12801" width="14.140625" style="296" customWidth="1"/>
    <col min="12802" max="12802" width="24.5703125" style="296" customWidth="1"/>
    <col min="12803" max="12803" width="10.7109375" style="296" customWidth="1"/>
    <col min="12804" max="12804" width="40.42578125" style="296" customWidth="1"/>
    <col min="12805" max="12805" width="8" style="296" customWidth="1"/>
    <col min="12806" max="13056" width="9.140625" style="296"/>
    <col min="13057" max="13057" width="14.140625" style="296" customWidth="1"/>
    <col min="13058" max="13058" width="24.5703125" style="296" customWidth="1"/>
    <col min="13059" max="13059" width="10.7109375" style="296" customWidth="1"/>
    <col min="13060" max="13060" width="40.42578125" style="296" customWidth="1"/>
    <col min="13061" max="13061" width="8" style="296" customWidth="1"/>
    <col min="13062" max="13312" width="9.140625" style="296"/>
    <col min="13313" max="13313" width="14.140625" style="296" customWidth="1"/>
    <col min="13314" max="13314" width="24.5703125" style="296" customWidth="1"/>
    <col min="13315" max="13315" width="10.7109375" style="296" customWidth="1"/>
    <col min="13316" max="13316" width="40.42578125" style="296" customWidth="1"/>
    <col min="13317" max="13317" width="8" style="296" customWidth="1"/>
    <col min="13318" max="13568" width="9.140625" style="296"/>
    <col min="13569" max="13569" width="14.140625" style="296" customWidth="1"/>
    <col min="13570" max="13570" width="24.5703125" style="296" customWidth="1"/>
    <col min="13571" max="13571" width="10.7109375" style="296" customWidth="1"/>
    <col min="13572" max="13572" width="40.42578125" style="296" customWidth="1"/>
    <col min="13573" max="13573" width="8" style="296" customWidth="1"/>
    <col min="13574" max="13824" width="9.140625" style="296"/>
    <col min="13825" max="13825" width="14.140625" style="296" customWidth="1"/>
    <col min="13826" max="13826" width="24.5703125" style="296" customWidth="1"/>
    <col min="13827" max="13827" width="10.7109375" style="296" customWidth="1"/>
    <col min="13828" max="13828" width="40.42578125" style="296" customWidth="1"/>
    <col min="13829" max="13829" width="8" style="296" customWidth="1"/>
    <col min="13830" max="14080" width="9.140625" style="296"/>
    <col min="14081" max="14081" width="14.140625" style="296" customWidth="1"/>
    <col min="14082" max="14082" width="24.5703125" style="296" customWidth="1"/>
    <col min="14083" max="14083" width="10.7109375" style="296" customWidth="1"/>
    <col min="14084" max="14084" width="40.42578125" style="296" customWidth="1"/>
    <col min="14085" max="14085" width="8" style="296" customWidth="1"/>
    <col min="14086" max="14336" width="9.140625" style="296"/>
    <col min="14337" max="14337" width="14.140625" style="296" customWidth="1"/>
    <col min="14338" max="14338" width="24.5703125" style="296" customWidth="1"/>
    <col min="14339" max="14339" width="10.7109375" style="296" customWidth="1"/>
    <col min="14340" max="14340" width="40.42578125" style="296" customWidth="1"/>
    <col min="14341" max="14341" width="8" style="296" customWidth="1"/>
    <col min="14342" max="14592" width="9.140625" style="296"/>
    <col min="14593" max="14593" width="14.140625" style="296" customWidth="1"/>
    <col min="14594" max="14594" width="24.5703125" style="296" customWidth="1"/>
    <col min="14595" max="14595" width="10.7109375" style="296" customWidth="1"/>
    <col min="14596" max="14596" width="40.42578125" style="296" customWidth="1"/>
    <col min="14597" max="14597" width="8" style="296" customWidth="1"/>
    <col min="14598" max="14848" width="9.140625" style="296"/>
    <col min="14849" max="14849" width="14.140625" style="296" customWidth="1"/>
    <col min="14850" max="14850" width="24.5703125" style="296" customWidth="1"/>
    <col min="14851" max="14851" width="10.7109375" style="296" customWidth="1"/>
    <col min="14852" max="14852" width="40.42578125" style="296" customWidth="1"/>
    <col min="14853" max="14853" width="8" style="296" customWidth="1"/>
    <col min="14854" max="15104" width="9.140625" style="296"/>
    <col min="15105" max="15105" width="14.140625" style="296" customWidth="1"/>
    <col min="15106" max="15106" width="24.5703125" style="296" customWidth="1"/>
    <col min="15107" max="15107" width="10.7109375" style="296" customWidth="1"/>
    <col min="15108" max="15108" width="40.42578125" style="296" customWidth="1"/>
    <col min="15109" max="15109" width="8" style="296" customWidth="1"/>
    <col min="15110" max="15360" width="9.140625" style="296"/>
    <col min="15361" max="15361" width="14.140625" style="296" customWidth="1"/>
    <col min="15362" max="15362" width="24.5703125" style="296" customWidth="1"/>
    <col min="15363" max="15363" width="10.7109375" style="296" customWidth="1"/>
    <col min="15364" max="15364" width="40.42578125" style="296" customWidth="1"/>
    <col min="15365" max="15365" width="8" style="296" customWidth="1"/>
    <col min="15366" max="15616" width="9.140625" style="296"/>
    <col min="15617" max="15617" width="14.140625" style="296" customWidth="1"/>
    <col min="15618" max="15618" width="24.5703125" style="296" customWidth="1"/>
    <col min="15619" max="15619" width="10.7109375" style="296" customWidth="1"/>
    <col min="15620" max="15620" width="40.42578125" style="296" customWidth="1"/>
    <col min="15621" max="15621" width="8" style="296" customWidth="1"/>
    <col min="15622" max="15872" width="9.140625" style="296"/>
    <col min="15873" max="15873" width="14.140625" style="296" customWidth="1"/>
    <col min="15874" max="15874" width="24.5703125" style="296" customWidth="1"/>
    <col min="15875" max="15875" width="10.7109375" style="296" customWidth="1"/>
    <col min="15876" max="15876" width="40.42578125" style="296" customWidth="1"/>
    <col min="15877" max="15877" width="8" style="296" customWidth="1"/>
    <col min="15878" max="16128" width="9.140625" style="296"/>
    <col min="16129" max="16129" width="14.140625" style="296" customWidth="1"/>
    <col min="16130" max="16130" width="24.5703125" style="296" customWidth="1"/>
    <col min="16131" max="16131" width="10.7109375" style="296" customWidth="1"/>
    <col min="16132" max="16132" width="40.42578125" style="296" customWidth="1"/>
    <col min="16133" max="16133" width="8" style="296" customWidth="1"/>
    <col min="16134" max="16384" width="9.140625" style="296"/>
  </cols>
  <sheetData>
    <row r="1" spans="1:5" ht="39.75" customHeight="1" thickBot="1">
      <c r="A1" s="335" t="s">
        <v>740</v>
      </c>
      <c r="B1" s="336"/>
      <c r="C1" s="336"/>
      <c r="D1" s="336"/>
      <c r="E1" s="337"/>
    </row>
    <row r="2" spans="1:5" ht="36.75" customHeight="1" thickBot="1">
      <c r="A2" s="297" t="s">
        <v>741</v>
      </c>
      <c r="B2" s="298" t="s">
        <v>742</v>
      </c>
      <c r="C2" s="299" t="s">
        <v>743</v>
      </c>
      <c r="D2" s="298" t="s">
        <v>4</v>
      </c>
      <c r="E2" s="300" t="s">
        <v>744</v>
      </c>
    </row>
    <row r="3" spans="1:5">
      <c r="A3" s="338" t="s">
        <v>745</v>
      </c>
      <c r="B3" s="301" t="s">
        <v>746</v>
      </c>
      <c r="C3" s="302"/>
      <c r="D3" s="301"/>
      <c r="E3" s="303">
        <v>2</v>
      </c>
    </row>
    <row r="4" spans="1:5">
      <c r="A4" s="339"/>
      <c r="B4" s="304" t="s">
        <v>747</v>
      </c>
      <c r="C4" s="305"/>
      <c r="D4" s="304"/>
      <c r="E4" s="306">
        <v>2</v>
      </c>
    </row>
    <row r="5" spans="1:5">
      <c r="A5" s="339"/>
      <c r="B5" s="341" t="s">
        <v>748</v>
      </c>
      <c r="C5" s="307">
        <v>131</v>
      </c>
      <c r="D5" s="304" t="s">
        <v>749</v>
      </c>
      <c r="E5" s="306">
        <v>3</v>
      </c>
    </row>
    <row r="6" spans="1:5">
      <c r="A6" s="339"/>
      <c r="B6" s="341"/>
      <c r="C6" s="307">
        <v>132</v>
      </c>
      <c r="D6" s="304" t="s">
        <v>750</v>
      </c>
      <c r="E6" s="306">
        <v>3</v>
      </c>
    </row>
    <row r="7" spans="1:5">
      <c r="A7" s="339"/>
      <c r="B7" s="341"/>
      <c r="C7" s="307">
        <v>133</v>
      </c>
      <c r="D7" s="304" t="s">
        <v>751</v>
      </c>
      <c r="E7" s="306">
        <v>4</v>
      </c>
    </row>
    <row r="8" spans="1:5" ht="22.5">
      <c r="A8" s="339"/>
      <c r="B8" s="341"/>
      <c r="C8" s="307">
        <v>134</v>
      </c>
      <c r="D8" s="304" t="s">
        <v>752</v>
      </c>
      <c r="E8" s="306">
        <v>5</v>
      </c>
    </row>
    <row r="9" spans="1:5">
      <c r="A9" s="339"/>
      <c r="B9" s="341" t="s">
        <v>753</v>
      </c>
      <c r="C9" s="307">
        <v>141</v>
      </c>
      <c r="D9" s="304" t="s">
        <v>754</v>
      </c>
      <c r="E9" s="306">
        <v>5</v>
      </c>
    </row>
    <row r="10" spans="1:5" ht="13.5" thickBot="1">
      <c r="A10" s="340"/>
      <c r="B10" s="342"/>
      <c r="C10" s="308">
        <v>142</v>
      </c>
      <c r="D10" s="309" t="s">
        <v>755</v>
      </c>
      <c r="E10" s="310">
        <v>5</v>
      </c>
    </row>
    <row r="11" spans="1:5">
      <c r="A11" s="338" t="s">
        <v>756</v>
      </c>
      <c r="B11" s="343" t="s">
        <v>757</v>
      </c>
      <c r="C11" s="311">
        <v>211</v>
      </c>
      <c r="D11" s="301" t="s">
        <v>758</v>
      </c>
      <c r="E11" s="303">
        <v>5</v>
      </c>
    </row>
    <row r="12" spans="1:5">
      <c r="A12" s="339"/>
      <c r="B12" s="341"/>
      <c r="C12" s="312">
        <v>212</v>
      </c>
      <c r="D12" s="304" t="s">
        <v>759</v>
      </c>
      <c r="E12" s="306">
        <v>5</v>
      </c>
    </row>
    <row r="13" spans="1:5">
      <c r="A13" s="339"/>
      <c r="B13" s="341"/>
      <c r="C13" s="312">
        <v>213</v>
      </c>
      <c r="D13" s="304" t="s">
        <v>760</v>
      </c>
      <c r="E13" s="306">
        <v>5</v>
      </c>
    </row>
    <row r="14" spans="1:5">
      <c r="A14" s="339"/>
      <c r="B14" s="341"/>
      <c r="C14" s="312">
        <v>214</v>
      </c>
      <c r="D14" s="304" t="s">
        <v>761</v>
      </c>
      <c r="E14" s="306">
        <v>5</v>
      </c>
    </row>
    <row r="15" spans="1:5">
      <c r="A15" s="339"/>
      <c r="B15" s="341"/>
      <c r="C15" s="312">
        <v>215</v>
      </c>
      <c r="D15" s="304" t="s">
        <v>762</v>
      </c>
      <c r="E15" s="306">
        <v>5</v>
      </c>
    </row>
    <row r="16" spans="1:5">
      <c r="A16" s="339"/>
      <c r="B16" s="341"/>
      <c r="C16" s="312">
        <v>216</v>
      </c>
      <c r="D16" s="304" t="s">
        <v>763</v>
      </c>
      <c r="E16" s="306">
        <v>6</v>
      </c>
    </row>
    <row r="17" spans="1:5">
      <c r="A17" s="339"/>
      <c r="B17" s="341"/>
      <c r="C17" s="312">
        <v>217</v>
      </c>
      <c r="D17" s="304" t="s">
        <v>764</v>
      </c>
      <c r="E17" s="306">
        <v>6</v>
      </c>
    </row>
    <row r="18" spans="1:5">
      <c r="A18" s="339"/>
      <c r="B18" s="341" t="s">
        <v>765</v>
      </c>
      <c r="C18" s="312">
        <v>221</v>
      </c>
      <c r="D18" s="304" t="s">
        <v>766</v>
      </c>
      <c r="E18" s="306">
        <v>6</v>
      </c>
    </row>
    <row r="19" spans="1:5">
      <c r="A19" s="339"/>
      <c r="B19" s="341"/>
      <c r="C19" s="312">
        <v>222</v>
      </c>
      <c r="D19" s="304" t="s">
        <v>767</v>
      </c>
      <c r="E19" s="306">
        <v>6</v>
      </c>
    </row>
    <row r="20" spans="1:5">
      <c r="A20" s="339"/>
      <c r="B20" s="341"/>
      <c r="C20" s="312">
        <v>223</v>
      </c>
      <c r="D20" s="304" t="s">
        <v>768</v>
      </c>
      <c r="E20" s="306">
        <v>6</v>
      </c>
    </row>
    <row r="21" spans="1:5">
      <c r="A21" s="339"/>
      <c r="B21" s="341" t="s">
        <v>769</v>
      </c>
      <c r="C21" s="312">
        <v>231</v>
      </c>
      <c r="D21" s="304" t="s">
        <v>770</v>
      </c>
      <c r="E21" s="306">
        <v>6</v>
      </c>
    </row>
    <row r="22" spans="1:5">
      <c r="A22" s="339"/>
      <c r="B22" s="341"/>
      <c r="C22" s="312">
        <v>232</v>
      </c>
      <c r="D22" s="304" t="s">
        <v>771</v>
      </c>
      <c r="E22" s="306">
        <v>6</v>
      </c>
    </row>
    <row r="23" spans="1:5">
      <c r="A23" s="339"/>
      <c r="B23" s="341"/>
      <c r="C23" s="312">
        <v>233</v>
      </c>
      <c r="D23" s="304" t="s">
        <v>772</v>
      </c>
      <c r="E23" s="306">
        <v>7</v>
      </c>
    </row>
    <row r="24" spans="1:5">
      <c r="A24" s="339"/>
      <c r="B24" s="341"/>
      <c r="C24" s="312">
        <v>234</v>
      </c>
      <c r="D24" s="304" t="s">
        <v>773</v>
      </c>
      <c r="E24" s="306">
        <v>7</v>
      </c>
    </row>
    <row r="25" spans="1:5">
      <c r="A25" s="339"/>
      <c r="B25" s="341"/>
      <c r="C25" s="312">
        <v>235</v>
      </c>
      <c r="D25" s="304" t="s">
        <v>774</v>
      </c>
      <c r="E25" s="306">
        <v>7</v>
      </c>
    </row>
    <row r="26" spans="1:5">
      <c r="A26" s="339"/>
      <c r="B26" s="341"/>
      <c r="C26" s="312">
        <v>236</v>
      </c>
      <c r="D26" s="304" t="s">
        <v>775</v>
      </c>
      <c r="E26" s="306">
        <v>7</v>
      </c>
    </row>
    <row r="27" spans="1:5" ht="22.5">
      <c r="A27" s="339"/>
      <c r="B27" s="341"/>
      <c r="C27" s="312">
        <v>237</v>
      </c>
      <c r="D27" s="304" t="s">
        <v>776</v>
      </c>
      <c r="E27" s="306">
        <v>7</v>
      </c>
    </row>
    <row r="28" spans="1:5">
      <c r="A28" s="339"/>
      <c r="B28" s="341" t="s">
        <v>777</v>
      </c>
      <c r="C28" s="312">
        <v>241</v>
      </c>
      <c r="D28" s="313" t="s">
        <v>778</v>
      </c>
      <c r="E28" s="306">
        <v>8</v>
      </c>
    </row>
    <row r="29" spans="1:5">
      <c r="A29" s="339"/>
      <c r="B29" s="341"/>
      <c r="C29" s="312">
        <v>242</v>
      </c>
      <c r="D29" s="304" t="s">
        <v>779</v>
      </c>
      <c r="E29" s="306">
        <v>8</v>
      </c>
    </row>
    <row r="30" spans="1:5">
      <c r="A30" s="339"/>
      <c r="B30" s="341"/>
      <c r="C30" s="312">
        <v>243</v>
      </c>
      <c r="D30" s="304" t="s">
        <v>774</v>
      </c>
      <c r="E30" s="306">
        <v>8</v>
      </c>
    </row>
    <row r="31" spans="1:5">
      <c r="A31" s="339"/>
      <c r="B31" s="341"/>
      <c r="C31" s="312">
        <v>244</v>
      </c>
      <c r="D31" s="304" t="s">
        <v>780</v>
      </c>
      <c r="E31" s="306">
        <v>8</v>
      </c>
    </row>
    <row r="32" spans="1:5">
      <c r="A32" s="339"/>
      <c r="B32" s="341" t="s">
        <v>781</v>
      </c>
      <c r="C32" s="312">
        <v>251</v>
      </c>
      <c r="D32" s="304" t="s">
        <v>770</v>
      </c>
      <c r="E32" s="306">
        <v>8</v>
      </c>
    </row>
    <row r="33" spans="1:5">
      <c r="A33" s="339"/>
      <c r="B33" s="341"/>
      <c r="C33" s="312">
        <v>252</v>
      </c>
      <c r="D33" s="304" t="s">
        <v>782</v>
      </c>
      <c r="E33" s="306">
        <v>8</v>
      </c>
    </row>
    <row r="34" spans="1:5" ht="22.5">
      <c r="A34" s="339"/>
      <c r="B34" s="341"/>
      <c r="C34" s="312">
        <v>253</v>
      </c>
      <c r="D34" s="304" t="s">
        <v>783</v>
      </c>
      <c r="E34" s="306">
        <v>9</v>
      </c>
    </row>
    <row r="35" spans="1:5">
      <c r="A35" s="339"/>
      <c r="B35" s="341"/>
      <c r="C35" s="312">
        <v>254</v>
      </c>
      <c r="D35" s="304" t="s">
        <v>784</v>
      </c>
      <c r="E35" s="306">
        <v>9</v>
      </c>
    </row>
    <row r="36" spans="1:5">
      <c r="A36" s="339"/>
      <c r="B36" s="341" t="s">
        <v>785</v>
      </c>
      <c r="C36" s="312">
        <v>261</v>
      </c>
      <c r="D36" s="304" t="s">
        <v>770</v>
      </c>
      <c r="E36" s="306">
        <v>9</v>
      </c>
    </row>
    <row r="37" spans="1:5">
      <c r="A37" s="339"/>
      <c r="B37" s="341"/>
      <c r="C37" s="312">
        <v>262</v>
      </c>
      <c r="D37" s="304" t="s">
        <v>786</v>
      </c>
      <c r="E37" s="306">
        <v>9</v>
      </c>
    </row>
    <row r="38" spans="1:5">
      <c r="A38" s="339"/>
      <c r="B38" s="341"/>
      <c r="C38" s="312">
        <v>263</v>
      </c>
      <c r="D38" s="304" t="s">
        <v>774</v>
      </c>
      <c r="E38" s="306">
        <v>10</v>
      </c>
    </row>
    <row r="39" spans="1:5">
      <c r="A39" s="339"/>
      <c r="B39" s="341" t="s">
        <v>787</v>
      </c>
      <c r="C39" s="312">
        <v>270</v>
      </c>
      <c r="D39" s="304" t="s">
        <v>770</v>
      </c>
      <c r="E39" s="306">
        <v>10</v>
      </c>
    </row>
    <row r="40" spans="1:5">
      <c r="A40" s="339"/>
      <c r="B40" s="341"/>
      <c r="C40" s="312">
        <v>271</v>
      </c>
      <c r="D40" s="304" t="s">
        <v>788</v>
      </c>
      <c r="E40" s="306">
        <v>10</v>
      </c>
    </row>
    <row r="41" spans="1:5">
      <c r="A41" s="339"/>
      <c r="B41" s="304" t="s">
        <v>789</v>
      </c>
      <c r="C41" s="314">
        <v>281</v>
      </c>
      <c r="D41" s="304" t="s">
        <v>770</v>
      </c>
      <c r="E41" s="306">
        <v>10</v>
      </c>
    </row>
    <row r="42" spans="1:5" ht="13.5" thickBot="1">
      <c r="A42" s="340"/>
      <c r="B42" s="309" t="s">
        <v>790</v>
      </c>
      <c r="C42" s="315">
        <v>291</v>
      </c>
      <c r="D42" s="309" t="s">
        <v>770</v>
      </c>
      <c r="E42" s="310">
        <v>10</v>
      </c>
    </row>
    <row r="43" spans="1:5" ht="14.25" customHeight="1">
      <c r="A43" s="338" t="s">
        <v>791</v>
      </c>
      <c r="B43" s="343" t="s">
        <v>792</v>
      </c>
      <c r="C43" s="311">
        <v>311</v>
      </c>
      <c r="D43" s="301" t="s">
        <v>793</v>
      </c>
      <c r="E43" s="303">
        <v>11</v>
      </c>
    </row>
    <row r="44" spans="1:5">
      <c r="A44" s="344"/>
      <c r="B44" s="341"/>
      <c r="C44" s="312">
        <v>312</v>
      </c>
      <c r="D44" s="304" t="s">
        <v>794</v>
      </c>
      <c r="E44" s="306">
        <v>11</v>
      </c>
    </row>
    <row r="45" spans="1:5">
      <c r="A45" s="344"/>
      <c r="B45" s="341"/>
      <c r="C45" s="312">
        <v>313</v>
      </c>
      <c r="D45" s="304" t="s">
        <v>795</v>
      </c>
      <c r="E45" s="306">
        <v>15</v>
      </c>
    </row>
    <row r="46" spans="1:5">
      <c r="A46" s="344"/>
      <c r="B46" s="341"/>
      <c r="C46" s="312">
        <v>314</v>
      </c>
      <c r="D46" s="304" t="s">
        <v>796</v>
      </c>
      <c r="E46" s="306">
        <v>15</v>
      </c>
    </row>
    <row r="47" spans="1:5">
      <c r="A47" s="344"/>
      <c r="B47" s="341" t="s">
        <v>797</v>
      </c>
      <c r="C47" s="312">
        <v>320</v>
      </c>
      <c r="D47" s="304" t="s">
        <v>798</v>
      </c>
      <c r="E47" s="306">
        <v>15</v>
      </c>
    </row>
    <row r="48" spans="1:5">
      <c r="A48" s="344"/>
      <c r="B48" s="341"/>
      <c r="C48" s="312">
        <v>321</v>
      </c>
      <c r="D48" s="304" t="s">
        <v>799</v>
      </c>
      <c r="E48" s="306">
        <v>15</v>
      </c>
    </row>
    <row r="49" spans="1:5">
      <c r="A49" s="344"/>
      <c r="B49" s="341"/>
      <c r="C49" s="312">
        <v>322</v>
      </c>
      <c r="D49" s="304" t="s">
        <v>800</v>
      </c>
      <c r="E49" s="306">
        <v>18</v>
      </c>
    </row>
    <row r="50" spans="1:5">
      <c r="A50" s="344"/>
      <c r="B50" s="341"/>
      <c r="C50" s="312">
        <v>323</v>
      </c>
      <c r="D50" s="304" t="s">
        <v>801</v>
      </c>
      <c r="E50" s="306">
        <v>19</v>
      </c>
    </row>
    <row r="51" spans="1:5">
      <c r="A51" s="344"/>
      <c r="B51" s="341" t="s">
        <v>802</v>
      </c>
      <c r="C51" s="312">
        <v>331</v>
      </c>
      <c r="D51" s="304" t="s">
        <v>803</v>
      </c>
      <c r="E51" s="306">
        <v>20</v>
      </c>
    </row>
    <row r="52" spans="1:5">
      <c r="A52" s="344"/>
      <c r="B52" s="341"/>
      <c r="C52" s="312">
        <v>332</v>
      </c>
      <c r="D52" s="304" t="s">
        <v>804</v>
      </c>
      <c r="E52" s="306">
        <v>20</v>
      </c>
    </row>
    <row r="53" spans="1:5">
      <c r="A53" s="344"/>
      <c r="B53" s="341" t="s">
        <v>805</v>
      </c>
      <c r="C53" s="312">
        <v>341</v>
      </c>
      <c r="D53" s="304" t="s">
        <v>798</v>
      </c>
      <c r="E53" s="306">
        <v>20</v>
      </c>
    </row>
    <row r="54" spans="1:5" ht="22.5">
      <c r="A54" s="344"/>
      <c r="B54" s="341"/>
      <c r="C54" s="312">
        <v>342</v>
      </c>
      <c r="D54" s="304" t="s">
        <v>806</v>
      </c>
      <c r="E54" s="306">
        <v>20</v>
      </c>
    </row>
    <row r="55" spans="1:5">
      <c r="A55" s="344"/>
      <c r="B55" s="341" t="s">
        <v>807</v>
      </c>
      <c r="C55" s="312">
        <v>351</v>
      </c>
      <c r="D55" s="304" t="s">
        <v>798</v>
      </c>
      <c r="E55" s="306">
        <v>20</v>
      </c>
    </row>
    <row r="56" spans="1:5">
      <c r="A56" s="344"/>
      <c r="B56" s="341"/>
      <c r="C56" s="312">
        <v>352</v>
      </c>
      <c r="D56" s="304" t="s">
        <v>808</v>
      </c>
      <c r="E56" s="306">
        <v>20</v>
      </c>
    </row>
    <row r="57" spans="1:5" ht="14.25" customHeight="1">
      <c r="A57" s="344"/>
      <c r="B57" s="341" t="s">
        <v>809</v>
      </c>
      <c r="C57" s="312">
        <v>361</v>
      </c>
      <c r="D57" s="304" t="s">
        <v>798</v>
      </c>
      <c r="E57" s="306">
        <v>21</v>
      </c>
    </row>
    <row r="58" spans="1:5">
      <c r="A58" s="344"/>
      <c r="B58" s="341"/>
      <c r="C58" s="312">
        <v>362</v>
      </c>
      <c r="D58" s="304" t="s">
        <v>810</v>
      </c>
      <c r="E58" s="306">
        <v>21</v>
      </c>
    </row>
    <row r="59" spans="1:5">
      <c r="A59" s="344"/>
      <c r="B59" s="341"/>
      <c r="C59" s="312">
        <v>363</v>
      </c>
      <c r="D59" s="304" t="s">
        <v>811</v>
      </c>
      <c r="E59" s="306">
        <v>21</v>
      </c>
    </row>
    <row r="60" spans="1:5" ht="13.5" thickBot="1">
      <c r="A60" s="345"/>
      <c r="B60" s="342"/>
      <c r="C60" s="316">
        <v>364</v>
      </c>
      <c r="D60" s="309" t="s">
        <v>812</v>
      </c>
      <c r="E60" s="310">
        <v>21</v>
      </c>
    </row>
    <row r="61" spans="1:5" ht="12.75" customHeight="1">
      <c r="A61" s="346" t="s">
        <v>813</v>
      </c>
      <c r="B61" s="343" t="s">
        <v>814</v>
      </c>
      <c r="C61" s="311">
        <v>410</v>
      </c>
      <c r="D61" s="301" t="s">
        <v>798</v>
      </c>
      <c r="E61" s="303">
        <v>25</v>
      </c>
    </row>
    <row r="62" spans="1:5" ht="22.5">
      <c r="A62" s="347"/>
      <c r="B62" s="341"/>
      <c r="C62" s="312">
        <v>411</v>
      </c>
      <c r="D62" s="304" t="s">
        <v>815</v>
      </c>
      <c r="E62" s="306">
        <v>25</v>
      </c>
    </row>
    <row r="63" spans="1:5">
      <c r="A63" s="347"/>
      <c r="B63" s="341"/>
      <c r="C63" s="312">
        <v>412</v>
      </c>
      <c r="D63" s="304" t="s">
        <v>816</v>
      </c>
      <c r="E63" s="306">
        <v>26</v>
      </c>
    </row>
    <row r="64" spans="1:5">
      <c r="A64" s="347"/>
      <c r="B64" s="341"/>
      <c r="C64" s="312">
        <v>413</v>
      </c>
      <c r="D64" s="304" t="s">
        <v>817</v>
      </c>
      <c r="E64" s="306">
        <v>27</v>
      </c>
    </row>
    <row r="65" spans="1:5">
      <c r="A65" s="347"/>
      <c r="B65" s="341" t="s">
        <v>818</v>
      </c>
      <c r="C65" s="312">
        <v>421</v>
      </c>
      <c r="D65" s="304" t="s">
        <v>798</v>
      </c>
      <c r="E65" s="306">
        <v>32</v>
      </c>
    </row>
    <row r="66" spans="1:5">
      <c r="A66" s="347"/>
      <c r="B66" s="341"/>
      <c r="C66" s="312">
        <v>422</v>
      </c>
      <c r="D66" s="304" t="s">
        <v>819</v>
      </c>
      <c r="E66" s="306">
        <v>32</v>
      </c>
    </row>
    <row r="67" spans="1:5">
      <c r="A67" s="347"/>
      <c r="B67" s="341"/>
      <c r="C67" s="312">
        <v>423</v>
      </c>
      <c r="D67" s="304" t="s">
        <v>820</v>
      </c>
      <c r="E67" s="306">
        <v>33</v>
      </c>
    </row>
    <row r="68" spans="1:5">
      <c r="A68" s="347"/>
      <c r="B68" s="341"/>
      <c r="C68" s="312">
        <v>424</v>
      </c>
      <c r="D68" s="304" t="s">
        <v>821</v>
      </c>
      <c r="E68" s="306">
        <v>33</v>
      </c>
    </row>
    <row r="69" spans="1:5">
      <c r="A69" s="347"/>
      <c r="B69" s="341" t="s">
        <v>822</v>
      </c>
      <c r="C69" s="312">
        <v>431</v>
      </c>
      <c r="D69" s="304" t="s">
        <v>798</v>
      </c>
      <c r="E69" s="306">
        <v>33</v>
      </c>
    </row>
    <row r="70" spans="1:5">
      <c r="A70" s="347"/>
      <c r="B70" s="341"/>
      <c r="C70" s="312">
        <v>432</v>
      </c>
      <c r="D70" s="304" t="s">
        <v>823</v>
      </c>
      <c r="E70" s="306">
        <v>33</v>
      </c>
    </row>
    <row r="71" spans="1:5">
      <c r="A71" s="347"/>
      <c r="B71" s="341"/>
      <c r="C71" s="312">
        <v>433</v>
      </c>
      <c r="D71" s="304" t="s">
        <v>280</v>
      </c>
      <c r="E71" s="306">
        <v>34</v>
      </c>
    </row>
    <row r="72" spans="1:5">
      <c r="A72" s="347"/>
      <c r="B72" s="341"/>
      <c r="C72" s="312">
        <v>434</v>
      </c>
      <c r="D72" s="304" t="s">
        <v>824</v>
      </c>
      <c r="E72" s="306">
        <v>34</v>
      </c>
    </row>
    <row r="73" spans="1:5" ht="15.75" customHeight="1">
      <c r="A73" s="347"/>
      <c r="B73" s="341"/>
      <c r="C73" s="312">
        <v>435</v>
      </c>
      <c r="D73" s="304" t="s">
        <v>825</v>
      </c>
      <c r="E73" s="306">
        <v>34</v>
      </c>
    </row>
    <row r="74" spans="1:5">
      <c r="A74" s="347"/>
      <c r="B74" s="341" t="s">
        <v>826</v>
      </c>
      <c r="C74" s="312">
        <v>441</v>
      </c>
      <c r="D74" s="304" t="s">
        <v>798</v>
      </c>
      <c r="E74" s="306">
        <v>35</v>
      </c>
    </row>
    <row r="75" spans="1:5" ht="22.5">
      <c r="A75" s="347"/>
      <c r="B75" s="341"/>
      <c r="C75" s="312">
        <v>442</v>
      </c>
      <c r="D75" s="304" t="s">
        <v>827</v>
      </c>
      <c r="E75" s="306">
        <v>35</v>
      </c>
    </row>
    <row r="76" spans="1:5" ht="22.5">
      <c r="A76" s="347"/>
      <c r="B76" s="341"/>
      <c r="C76" s="312">
        <v>443</v>
      </c>
      <c r="D76" s="304" t="s">
        <v>828</v>
      </c>
      <c r="E76" s="306">
        <v>39</v>
      </c>
    </row>
    <row r="77" spans="1:5" ht="22.5">
      <c r="A77" s="347"/>
      <c r="B77" s="304" t="s">
        <v>829</v>
      </c>
      <c r="C77" s="314">
        <v>451</v>
      </c>
      <c r="D77" s="304" t="s">
        <v>830</v>
      </c>
      <c r="E77" s="306">
        <v>40</v>
      </c>
    </row>
    <row r="78" spans="1:5">
      <c r="A78" s="347"/>
      <c r="B78" s="341" t="s">
        <v>831</v>
      </c>
      <c r="C78" s="312">
        <v>460</v>
      </c>
      <c r="D78" s="304" t="s">
        <v>832</v>
      </c>
      <c r="E78" s="306">
        <v>40</v>
      </c>
    </row>
    <row r="79" spans="1:5">
      <c r="A79" s="347"/>
      <c r="B79" s="341"/>
      <c r="C79" s="312">
        <v>461</v>
      </c>
      <c r="D79" s="304" t="s">
        <v>798</v>
      </c>
      <c r="E79" s="306">
        <v>40</v>
      </c>
    </row>
    <row r="80" spans="1:5">
      <c r="A80" s="347"/>
      <c r="B80" s="341"/>
      <c r="C80" s="312">
        <v>462</v>
      </c>
      <c r="D80" s="304" t="s">
        <v>833</v>
      </c>
      <c r="E80" s="306">
        <v>41</v>
      </c>
    </row>
    <row r="81" spans="1:5">
      <c r="A81" s="347"/>
      <c r="B81" s="341"/>
      <c r="C81" s="312">
        <v>463</v>
      </c>
      <c r="D81" s="304" t="s">
        <v>834</v>
      </c>
      <c r="E81" s="306">
        <v>41</v>
      </c>
    </row>
    <row r="82" spans="1:5">
      <c r="A82" s="347"/>
      <c r="B82" s="341"/>
      <c r="C82" s="312">
        <v>464</v>
      </c>
      <c r="D82" s="304" t="s">
        <v>835</v>
      </c>
      <c r="E82" s="306">
        <v>41</v>
      </c>
    </row>
    <row r="83" spans="1:5">
      <c r="A83" s="348"/>
      <c r="B83" s="341"/>
      <c r="C83" s="312">
        <v>465</v>
      </c>
      <c r="D83" s="304" t="s">
        <v>836</v>
      </c>
      <c r="E83" s="306">
        <v>41</v>
      </c>
    </row>
    <row r="84" spans="1:5" ht="12.75" customHeight="1">
      <c r="A84" s="349" t="s">
        <v>837</v>
      </c>
      <c r="B84" s="341" t="s">
        <v>838</v>
      </c>
      <c r="C84" s="312">
        <v>470</v>
      </c>
      <c r="D84" s="304" t="s">
        <v>798</v>
      </c>
      <c r="E84" s="306">
        <v>42</v>
      </c>
    </row>
    <row r="85" spans="1:5">
      <c r="A85" s="350"/>
      <c r="B85" s="341"/>
      <c r="C85" s="312">
        <v>471</v>
      </c>
      <c r="D85" s="304" t="s">
        <v>839</v>
      </c>
      <c r="E85" s="306">
        <v>42</v>
      </c>
    </row>
    <row r="86" spans="1:5">
      <c r="A86" s="350"/>
      <c r="B86" s="341"/>
      <c r="C86" s="312">
        <v>472</v>
      </c>
      <c r="D86" s="304" t="s">
        <v>761</v>
      </c>
      <c r="E86" s="306">
        <v>43</v>
      </c>
    </row>
    <row r="87" spans="1:5">
      <c r="A87" s="350"/>
      <c r="B87" s="341"/>
      <c r="C87" s="312">
        <v>473</v>
      </c>
      <c r="D87" s="304" t="s">
        <v>840</v>
      </c>
      <c r="E87" s="306">
        <v>43</v>
      </c>
    </row>
    <row r="88" spans="1:5">
      <c r="A88" s="350"/>
      <c r="B88" s="341"/>
      <c r="C88" s="312">
        <v>474</v>
      </c>
      <c r="D88" s="304" t="s">
        <v>761</v>
      </c>
      <c r="E88" s="306">
        <v>44</v>
      </c>
    </row>
    <row r="89" spans="1:5">
      <c r="A89" s="350"/>
      <c r="B89" s="341"/>
      <c r="C89" s="312">
        <v>475</v>
      </c>
      <c r="D89" s="304" t="s">
        <v>761</v>
      </c>
      <c r="E89" s="306">
        <v>44</v>
      </c>
    </row>
    <row r="90" spans="1:5">
      <c r="A90" s="350"/>
      <c r="B90" s="341"/>
      <c r="C90" s="312">
        <v>476</v>
      </c>
      <c r="D90" s="304" t="s">
        <v>841</v>
      </c>
      <c r="E90" s="306">
        <v>44</v>
      </c>
    </row>
    <row r="91" spans="1:5" ht="17.25" customHeight="1">
      <c r="A91" s="350"/>
      <c r="B91" s="341" t="s">
        <v>842</v>
      </c>
      <c r="C91" s="317">
        <v>481</v>
      </c>
      <c r="D91" s="304" t="s">
        <v>843</v>
      </c>
      <c r="E91" s="306">
        <v>44</v>
      </c>
    </row>
    <row r="92" spans="1:5" ht="20.25" customHeight="1">
      <c r="A92" s="350"/>
      <c r="B92" s="341"/>
      <c r="C92" s="317">
        <v>482</v>
      </c>
      <c r="D92" s="304" t="s">
        <v>844</v>
      </c>
      <c r="E92" s="306">
        <v>46</v>
      </c>
    </row>
    <row r="93" spans="1:5">
      <c r="A93" s="350"/>
      <c r="B93" s="341"/>
      <c r="C93" s="318" t="s">
        <v>845</v>
      </c>
      <c r="D93" s="304" t="s">
        <v>846</v>
      </c>
      <c r="E93" s="306">
        <v>48</v>
      </c>
    </row>
    <row r="94" spans="1:5" ht="22.5">
      <c r="A94" s="350"/>
      <c r="B94" s="341"/>
      <c r="C94" s="318" t="s">
        <v>847</v>
      </c>
      <c r="D94" s="304" t="s">
        <v>848</v>
      </c>
      <c r="E94" s="306">
        <v>49</v>
      </c>
    </row>
    <row r="95" spans="1:5" ht="22.5">
      <c r="A95" s="350"/>
      <c r="B95" s="341"/>
      <c r="C95" s="318" t="s">
        <v>849</v>
      </c>
      <c r="D95" s="304" t="s">
        <v>850</v>
      </c>
      <c r="E95" s="306">
        <v>50</v>
      </c>
    </row>
    <row r="96" spans="1:5">
      <c r="A96" s="350"/>
      <c r="B96" s="341"/>
      <c r="C96" s="318" t="s">
        <v>851</v>
      </c>
      <c r="D96" s="304" t="s">
        <v>852</v>
      </c>
      <c r="E96" s="306">
        <v>51</v>
      </c>
    </row>
    <row r="97" spans="1:5" ht="27" customHeight="1" thickBot="1">
      <c r="A97" s="351"/>
      <c r="B97" s="342"/>
      <c r="C97" s="319" t="s">
        <v>853</v>
      </c>
      <c r="D97" s="309" t="s">
        <v>854</v>
      </c>
      <c r="E97" s="310">
        <v>51</v>
      </c>
    </row>
    <row r="98" spans="1:5" ht="12.75" customHeight="1">
      <c r="A98" s="338" t="s">
        <v>855</v>
      </c>
      <c r="B98" s="352" t="s">
        <v>856</v>
      </c>
      <c r="C98" s="311">
        <v>510</v>
      </c>
      <c r="D98" s="301" t="s">
        <v>798</v>
      </c>
      <c r="E98" s="303">
        <v>52</v>
      </c>
    </row>
    <row r="99" spans="1:5">
      <c r="A99" s="339"/>
      <c r="B99" s="353"/>
      <c r="C99" s="312">
        <v>511</v>
      </c>
      <c r="D99" s="304" t="s">
        <v>857</v>
      </c>
      <c r="E99" s="306">
        <v>53</v>
      </c>
    </row>
    <row r="100" spans="1:5" ht="22.5">
      <c r="A100" s="339"/>
      <c r="B100" s="353"/>
      <c r="C100" s="317">
        <v>512</v>
      </c>
      <c r="D100" s="304" t="s">
        <v>858</v>
      </c>
      <c r="E100" s="306">
        <v>53</v>
      </c>
    </row>
    <row r="101" spans="1:5">
      <c r="A101" s="339"/>
      <c r="B101" s="353"/>
      <c r="C101" s="317">
        <v>513</v>
      </c>
      <c r="D101" s="304" t="s">
        <v>859</v>
      </c>
      <c r="E101" s="306">
        <v>59</v>
      </c>
    </row>
    <row r="102" spans="1:5">
      <c r="A102" s="339"/>
      <c r="B102" s="353"/>
      <c r="C102" s="317">
        <v>514</v>
      </c>
      <c r="D102" s="304" t="s">
        <v>860</v>
      </c>
      <c r="E102" s="306">
        <v>59</v>
      </c>
    </row>
    <row r="103" spans="1:5">
      <c r="A103" s="339"/>
      <c r="B103" s="353"/>
      <c r="C103" s="312">
        <v>515</v>
      </c>
      <c r="D103" s="304" t="s">
        <v>861</v>
      </c>
      <c r="E103" s="306">
        <v>59</v>
      </c>
    </row>
    <row r="104" spans="1:5">
      <c r="A104" s="339"/>
      <c r="B104" s="341" t="s">
        <v>862</v>
      </c>
      <c r="C104" s="312">
        <v>520</v>
      </c>
      <c r="D104" s="304" t="s">
        <v>798</v>
      </c>
      <c r="E104" s="306">
        <v>60</v>
      </c>
    </row>
    <row r="105" spans="1:5">
      <c r="A105" s="339"/>
      <c r="B105" s="341"/>
      <c r="C105" s="312">
        <v>521</v>
      </c>
      <c r="D105" s="304" t="s">
        <v>863</v>
      </c>
      <c r="E105" s="306">
        <v>60</v>
      </c>
    </row>
    <row r="106" spans="1:5" ht="22.5">
      <c r="A106" s="339"/>
      <c r="B106" s="341"/>
      <c r="C106" s="317">
        <v>522</v>
      </c>
      <c r="D106" s="304" t="s">
        <v>864</v>
      </c>
      <c r="E106" s="306">
        <v>67</v>
      </c>
    </row>
    <row r="107" spans="1:5">
      <c r="A107" s="339"/>
      <c r="B107" s="341"/>
      <c r="C107" s="312">
        <v>523</v>
      </c>
      <c r="D107" s="304" t="s">
        <v>865</v>
      </c>
      <c r="E107" s="306">
        <v>69</v>
      </c>
    </row>
    <row r="108" spans="1:5">
      <c r="A108" s="339"/>
      <c r="B108" s="341"/>
      <c r="C108" s="312">
        <v>524</v>
      </c>
      <c r="D108" s="304" t="s">
        <v>693</v>
      </c>
      <c r="E108" s="306">
        <v>70</v>
      </c>
    </row>
    <row r="109" spans="1:5">
      <c r="A109" s="339"/>
      <c r="B109" s="341"/>
      <c r="C109" s="312">
        <v>525</v>
      </c>
      <c r="D109" s="304" t="s">
        <v>866</v>
      </c>
      <c r="E109" s="306">
        <v>71</v>
      </c>
    </row>
    <row r="110" spans="1:5">
      <c r="A110" s="339"/>
      <c r="B110" s="341"/>
      <c r="C110" s="312">
        <v>526</v>
      </c>
      <c r="D110" s="304" t="s">
        <v>867</v>
      </c>
      <c r="E110" s="306">
        <v>71</v>
      </c>
    </row>
    <row r="111" spans="1:5" ht="22.5">
      <c r="A111" s="339"/>
      <c r="B111" s="341"/>
      <c r="C111" s="312">
        <v>527</v>
      </c>
      <c r="D111" s="304" t="s">
        <v>868</v>
      </c>
      <c r="E111" s="306">
        <v>72</v>
      </c>
    </row>
    <row r="112" spans="1:5">
      <c r="A112" s="339"/>
      <c r="B112" s="341"/>
      <c r="C112" s="312">
        <v>528</v>
      </c>
      <c r="D112" s="304" t="s">
        <v>869</v>
      </c>
      <c r="E112" s="306">
        <v>72</v>
      </c>
    </row>
    <row r="113" spans="1:5" ht="22.5">
      <c r="A113" s="339"/>
      <c r="B113" s="341"/>
      <c r="C113" s="312">
        <v>529</v>
      </c>
      <c r="D113" s="304" t="s">
        <v>870</v>
      </c>
      <c r="E113" s="306">
        <v>73</v>
      </c>
    </row>
    <row r="114" spans="1:5">
      <c r="A114" s="339"/>
      <c r="B114" s="341" t="s">
        <v>871</v>
      </c>
      <c r="C114" s="312">
        <v>530</v>
      </c>
      <c r="D114" s="304" t="s">
        <v>872</v>
      </c>
      <c r="E114" s="306">
        <v>73</v>
      </c>
    </row>
    <row r="115" spans="1:5" ht="22.5">
      <c r="A115" s="339"/>
      <c r="B115" s="341"/>
      <c r="C115" s="312">
        <v>531</v>
      </c>
      <c r="D115" s="304" t="s">
        <v>873</v>
      </c>
      <c r="E115" s="306">
        <v>73</v>
      </c>
    </row>
    <row r="116" spans="1:5" ht="22.5">
      <c r="A116" s="339"/>
      <c r="B116" s="341"/>
      <c r="C116" s="312">
        <v>532</v>
      </c>
      <c r="D116" s="304" t="s">
        <v>874</v>
      </c>
      <c r="E116" s="306">
        <v>74</v>
      </c>
    </row>
    <row r="117" spans="1:5">
      <c r="A117" s="339"/>
      <c r="B117" s="341"/>
      <c r="C117" s="312">
        <v>533</v>
      </c>
      <c r="D117" s="304" t="s">
        <v>875</v>
      </c>
      <c r="E117" s="306">
        <v>74</v>
      </c>
    </row>
    <row r="118" spans="1:5">
      <c r="A118" s="339"/>
      <c r="B118" s="341"/>
      <c r="C118" s="312">
        <v>534</v>
      </c>
      <c r="D118" s="304" t="s">
        <v>876</v>
      </c>
      <c r="E118" s="306">
        <v>75</v>
      </c>
    </row>
    <row r="119" spans="1:5" ht="22.5">
      <c r="A119" s="339"/>
      <c r="B119" s="341"/>
      <c r="C119" s="312">
        <v>535</v>
      </c>
      <c r="D119" s="304" t="s">
        <v>877</v>
      </c>
      <c r="E119" s="306">
        <v>76</v>
      </c>
    </row>
    <row r="120" spans="1:5">
      <c r="A120" s="339"/>
      <c r="B120" s="341"/>
      <c r="C120" s="312">
        <v>536</v>
      </c>
      <c r="D120" s="304" t="s">
        <v>878</v>
      </c>
      <c r="E120" s="306">
        <v>76</v>
      </c>
    </row>
    <row r="121" spans="1:5">
      <c r="A121" s="339"/>
      <c r="B121" s="341"/>
      <c r="C121" s="312">
        <v>537</v>
      </c>
      <c r="D121" s="304" t="s">
        <v>761</v>
      </c>
      <c r="E121" s="306">
        <v>78</v>
      </c>
    </row>
    <row r="122" spans="1:5">
      <c r="A122" s="339"/>
      <c r="B122" s="341"/>
      <c r="C122" s="312">
        <v>538</v>
      </c>
      <c r="D122" s="304" t="s">
        <v>761</v>
      </c>
      <c r="E122" s="306">
        <v>78</v>
      </c>
    </row>
    <row r="123" spans="1:5" ht="22.5">
      <c r="A123" s="339"/>
      <c r="B123" s="341"/>
      <c r="C123" s="312">
        <v>539</v>
      </c>
      <c r="D123" s="304" t="s">
        <v>879</v>
      </c>
      <c r="E123" s="306">
        <v>78</v>
      </c>
    </row>
    <row r="124" spans="1:5">
      <c r="A124" s="339"/>
      <c r="B124" s="341" t="s">
        <v>880</v>
      </c>
      <c r="C124" s="312">
        <v>541</v>
      </c>
      <c r="D124" s="304" t="s">
        <v>798</v>
      </c>
      <c r="E124" s="306">
        <v>78</v>
      </c>
    </row>
    <row r="125" spans="1:5">
      <c r="A125" s="339"/>
      <c r="B125" s="341"/>
      <c r="C125" s="312">
        <v>542</v>
      </c>
      <c r="D125" s="304" t="s">
        <v>881</v>
      </c>
      <c r="E125" s="306">
        <v>78</v>
      </c>
    </row>
    <row r="126" spans="1:5">
      <c r="A126" s="339"/>
      <c r="B126" s="341"/>
      <c r="C126" s="312">
        <v>543</v>
      </c>
      <c r="D126" s="304" t="s">
        <v>882</v>
      </c>
      <c r="E126" s="306">
        <v>79</v>
      </c>
    </row>
    <row r="127" spans="1:5">
      <c r="A127" s="339"/>
      <c r="B127" s="341"/>
      <c r="C127" s="312">
        <v>544</v>
      </c>
      <c r="D127" s="304" t="s">
        <v>883</v>
      </c>
      <c r="E127" s="306">
        <v>82</v>
      </c>
    </row>
    <row r="128" spans="1:5">
      <c r="A128" s="339"/>
      <c r="B128" s="341"/>
      <c r="C128" s="312">
        <v>545</v>
      </c>
      <c r="D128" s="304" t="s">
        <v>884</v>
      </c>
      <c r="E128" s="306">
        <v>82</v>
      </c>
    </row>
    <row r="129" spans="1:5" ht="22.5">
      <c r="A129" s="339"/>
      <c r="B129" s="341"/>
      <c r="C129" s="312">
        <v>546</v>
      </c>
      <c r="D129" s="304" t="s">
        <v>885</v>
      </c>
      <c r="E129" s="306">
        <v>82</v>
      </c>
    </row>
    <row r="130" spans="1:5">
      <c r="A130" s="339"/>
      <c r="B130" s="341"/>
      <c r="C130" s="312">
        <v>547</v>
      </c>
      <c r="D130" s="304" t="s">
        <v>886</v>
      </c>
      <c r="E130" s="306">
        <v>82</v>
      </c>
    </row>
    <row r="131" spans="1:5">
      <c r="A131" s="339"/>
      <c r="B131" s="341" t="s">
        <v>887</v>
      </c>
      <c r="C131" s="312">
        <v>551</v>
      </c>
      <c r="D131" s="304" t="s">
        <v>888</v>
      </c>
      <c r="E131" s="306">
        <v>82</v>
      </c>
    </row>
    <row r="132" spans="1:5">
      <c r="A132" s="339"/>
      <c r="B132" s="341"/>
      <c r="C132" s="312">
        <v>552</v>
      </c>
      <c r="D132" s="304" t="s">
        <v>889</v>
      </c>
      <c r="E132" s="306">
        <v>85</v>
      </c>
    </row>
    <row r="133" spans="1:5">
      <c r="A133" s="339"/>
      <c r="B133" s="341"/>
      <c r="C133" s="312">
        <v>553</v>
      </c>
      <c r="D133" s="304" t="s">
        <v>890</v>
      </c>
      <c r="E133" s="306">
        <v>85</v>
      </c>
    </row>
    <row r="134" spans="1:5">
      <c r="A134" s="339"/>
      <c r="B134" s="341"/>
      <c r="C134" s="312">
        <v>554</v>
      </c>
      <c r="D134" s="304" t="s">
        <v>891</v>
      </c>
      <c r="E134" s="306">
        <v>86</v>
      </c>
    </row>
    <row r="135" spans="1:5">
      <c r="A135" s="339"/>
      <c r="B135" s="341"/>
      <c r="C135" s="312">
        <v>555</v>
      </c>
      <c r="D135" s="304" t="s">
        <v>892</v>
      </c>
      <c r="E135" s="306">
        <v>86</v>
      </c>
    </row>
    <row r="136" spans="1:5">
      <c r="A136" s="339"/>
      <c r="B136" s="341"/>
      <c r="C136" s="312">
        <v>556</v>
      </c>
      <c r="D136" s="304" t="s">
        <v>893</v>
      </c>
      <c r="E136" s="306">
        <v>86</v>
      </c>
    </row>
    <row r="137" spans="1:5">
      <c r="A137" s="339"/>
      <c r="B137" s="341"/>
      <c r="C137" s="312">
        <v>557</v>
      </c>
      <c r="D137" s="304" t="s">
        <v>894</v>
      </c>
      <c r="E137" s="306">
        <v>86</v>
      </c>
    </row>
    <row r="138" spans="1:5">
      <c r="A138" s="339"/>
      <c r="B138" s="341"/>
      <c r="C138" s="312">
        <v>558</v>
      </c>
      <c r="D138" s="304" t="s">
        <v>895</v>
      </c>
      <c r="E138" s="306">
        <v>87</v>
      </c>
    </row>
    <row r="139" spans="1:5">
      <c r="A139" s="339"/>
      <c r="B139" s="341"/>
      <c r="C139" s="312">
        <v>559</v>
      </c>
      <c r="D139" s="304" t="s">
        <v>896</v>
      </c>
      <c r="E139" s="306">
        <v>88</v>
      </c>
    </row>
    <row r="140" spans="1:5" ht="12.75" customHeight="1">
      <c r="A140" s="339"/>
      <c r="B140" s="341" t="s">
        <v>897</v>
      </c>
      <c r="C140" s="312">
        <v>561</v>
      </c>
      <c r="D140" s="304" t="s">
        <v>798</v>
      </c>
      <c r="E140" s="306">
        <v>90</v>
      </c>
    </row>
    <row r="141" spans="1:5">
      <c r="A141" s="339"/>
      <c r="B141" s="341"/>
      <c r="C141" s="312">
        <v>562</v>
      </c>
      <c r="D141" s="304" t="s">
        <v>898</v>
      </c>
      <c r="E141" s="306">
        <v>90</v>
      </c>
    </row>
    <row r="142" spans="1:5">
      <c r="A142" s="339"/>
      <c r="B142" s="341"/>
      <c r="C142" s="312">
        <v>563</v>
      </c>
      <c r="D142" s="304" t="s">
        <v>899</v>
      </c>
      <c r="E142" s="306">
        <v>90</v>
      </c>
    </row>
    <row r="143" spans="1:5">
      <c r="A143" s="339"/>
      <c r="B143" s="341"/>
      <c r="C143" s="312">
        <v>564</v>
      </c>
      <c r="D143" s="304" t="s">
        <v>896</v>
      </c>
      <c r="E143" s="306">
        <v>91</v>
      </c>
    </row>
    <row r="144" spans="1:5" ht="22.5">
      <c r="A144" s="339"/>
      <c r="B144" s="341"/>
      <c r="C144" s="317">
        <v>565</v>
      </c>
      <c r="D144" s="304" t="s">
        <v>900</v>
      </c>
      <c r="E144" s="306">
        <v>91</v>
      </c>
    </row>
    <row r="145" spans="1:5" ht="22.5">
      <c r="A145" s="339"/>
      <c r="B145" s="341"/>
      <c r="C145" s="320">
        <v>566</v>
      </c>
      <c r="D145" s="313" t="s">
        <v>901</v>
      </c>
      <c r="E145" s="306">
        <v>91</v>
      </c>
    </row>
    <row r="146" spans="1:5" ht="22.5">
      <c r="A146" s="339"/>
      <c r="B146" s="341" t="s">
        <v>902</v>
      </c>
      <c r="C146" s="318" t="s">
        <v>845</v>
      </c>
      <c r="D146" s="304" t="s">
        <v>903</v>
      </c>
      <c r="E146" s="306">
        <v>91</v>
      </c>
    </row>
    <row r="147" spans="1:5" ht="33.75">
      <c r="A147" s="339"/>
      <c r="B147" s="341"/>
      <c r="C147" s="318" t="s">
        <v>904</v>
      </c>
      <c r="D147" s="304" t="s">
        <v>905</v>
      </c>
      <c r="E147" s="306">
        <v>91</v>
      </c>
    </row>
    <row r="148" spans="1:5" ht="33.75">
      <c r="A148" s="339"/>
      <c r="B148" s="341"/>
      <c r="C148" s="318" t="s">
        <v>904</v>
      </c>
      <c r="D148" s="304" t="s">
        <v>906</v>
      </c>
      <c r="E148" s="306">
        <v>92</v>
      </c>
    </row>
    <row r="149" spans="1:5">
      <c r="A149" s="339"/>
      <c r="B149" s="341"/>
      <c r="C149" s="318" t="s">
        <v>849</v>
      </c>
      <c r="D149" s="304" t="s">
        <v>907</v>
      </c>
      <c r="E149" s="306">
        <v>93</v>
      </c>
    </row>
    <row r="150" spans="1:5">
      <c r="A150" s="339"/>
      <c r="B150" s="341"/>
      <c r="C150" s="318" t="s">
        <v>851</v>
      </c>
      <c r="D150" s="304" t="s">
        <v>779</v>
      </c>
      <c r="E150" s="306">
        <v>113</v>
      </c>
    </row>
    <row r="151" spans="1:5" ht="14.25" customHeight="1">
      <c r="A151" s="339"/>
      <c r="B151" s="341"/>
      <c r="C151" s="318" t="s">
        <v>853</v>
      </c>
      <c r="D151" s="304" t="s">
        <v>908</v>
      </c>
      <c r="E151" s="306">
        <v>116</v>
      </c>
    </row>
    <row r="152" spans="1:5" ht="22.5">
      <c r="A152" s="339"/>
      <c r="B152" s="341"/>
      <c r="C152" s="318" t="s">
        <v>236</v>
      </c>
      <c r="D152" s="304" t="s">
        <v>909</v>
      </c>
      <c r="E152" s="306">
        <v>116</v>
      </c>
    </row>
    <row r="153" spans="1:5">
      <c r="A153" s="339"/>
      <c r="B153" s="341"/>
      <c r="C153" s="318" t="s">
        <v>910</v>
      </c>
      <c r="D153" s="304" t="s">
        <v>911</v>
      </c>
      <c r="E153" s="306">
        <v>116</v>
      </c>
    </row>
    <row r="154" spans="1:5" ht="13.5" thickBot="1">
      <c r="A154" s="340"/>
      <c r="B154" s="342"/>
      <c r="C154" s="319" t="s">
        <v>912</v>
      </c>
      <c r="D154" s="309" t="s">
        <v>913</v>
      </c>
      <c r="E154" s="310">
        <v>117</v>
      </c>
    </row>
    <row r="155" spans="1:5">
      <c r="A155" s="338" t="s">
        <v>914</v>
      </c>
      <c r="B155" s="301" t="s">
        <v>915</v>
      </c>
      <c r="C155" s="311"/>
      <c r="D155" s="301"/>
      <c r="E155" s="303">
        <v>118</v>
      </c>
    </row>
    <row r="156" spans="1:5">
      <c r="A156" s="339"/>
      <c r="B156" s="341" t="s">
        <v>916</v>
      </c>
      <c r="C156" s="312">
        <v>610</v>
      </c>
      <c r="D156" s="304" t="s">
        <v>798</v>
      </c>
      <c r="E156" s="306">
        <v>118</v>
      </c>
    </row>
    <row r="157" spans="1:5">
      <c r="A157" s="339"/>
      <c r="B157" s="341"/>
      <c r="C157" s="312">
        <v>611</v>
      </c>
      <c r="D157" s="304" t="s">
        <v>917</v>
      </c>
      <c r="E157" s="306">
        <v>118</v>
      </c>
    </row>
    <row r="158" spans="1:5">
      <c r="A158" s="339"/>
      <c r="B158" s="341"/>
      <c r="C158" s="312">
        <v>612</v>
      </c>
      <c r="D158" s="304" t="s">
        <v>918</v>
      </c>
      <c r="E158" s="306">
        <v>119</v>
      </c>
    </row>
    <row r="159" spans="1:5" ht="22.5">
      <c r="A159" s="339"/>
      <c r="B159" s="304" t="s">
        <v>919</v>
      </c>
      <c r="C159" s="312"/>
      <c r="D159" s="304"/>
      <c r="E159" s="306">
        <v>121</v>
      </c>
    </row>
    <row r="160" spans="1:5">
      <c r="A160" s="339"/>
      <c r="B160" s="304" t="s">
        <v>920</v>
      </c>
      <c r="C160" s="312"/>
      <c r="D160" s="304"/>
      <c r="E160" s="306">
        <v>121</v>
      </c>
    </row>
    <row r="161" spans="1:5" ht="25.5" customHeight="1">
      <c r="A161" s="339"/>
      <c r="B161" s="341" t="s">
        <v>921</v>
      </c>
      <c r="C161" s="317">
        <v>641</v>
      </c>
      <c r="D161" s="304" t="s">
        <v>922</v>
      </c>
      <c r="E161" s="306">
        <v>121</v>
      </c>
    </row>
    <row r="162" spans="1:5">
      <c r="A162" s="339"/>
      <c r="B162" s="341"/>
      <c r="C162" s="312">
        <v>642</v>
      </c>
      <c r="D162" s="304" t="s">
        <v>923</v>
      </c>
      <c r="E162" s="306">
        <v>121</v>
      </c>
    </row>
    <row r="163" spans="1:5" ht="22.5">
      <c r="A163" s="339"/>
      <c r="B163" s="341"/>
      <c r="C163" s="312">
        <v>643</v>
      </c>
      <c r="D163" s="304" t="s">
        <v>924</v>
      </c>
      <c r="E163" s="306">
        <v>122</v>
      </c>
    </row>
    <row r="164" spans="1:5">
      <c r="A164" s="339"/>
      <c r="B164" s="341"/>
      <c r="C164" s="312">
        <v>644</v>
      </c>
      <c r="D164" s="304" t="s">
        <v>925</v>
      </c>
      <c r="E164" s="306">
        <v>122</v>
      </c>
    </row>
    <row r="165" spans="1:5">
      <c r="A165" s="339"/>
      <c r="B165" s="341"/>
      <c r="C165" s="312">
        <v>645</v>
      </c>
      <c r="D165" s="313" t="s">
        <v>926</v>
      </c>
      <c r="E165" s="306">
        <v>122</v>
      </c>
    </row>
    <row r="166" spans="1:5" ht="22.5">
      <c r="A166" s="339"/>
      <c r="B166" s="341" t="s">
        <v>902</v>
      </c>
      <c r="C166" s="318" t="s">
        <v>927</v>
      </c>
      <c r="D166" s="304" t="s">
        <v>928</v>
      </c>
      <c r="E166" s="306">
        <v>122</v>
      </c>
    </row>
    <row r="167" spans="1:5" ht="22.5">
      <c r="A167" s="339"/>
      <c r="B167" s="341"/>
      <c r="C167" s="318" t="s">
        <v>929</v>
      </c>
      <c r="D167" s="304" t="s">
        <v>930</v>
      </c>
      <c r="E167" s="306">
        <v>123</v>
      </c>
    </row>
    <row r="168" spans="1:5">
      <c r="A168" s="339"/>
      <c r="B168" s="341"/>
      <c r="C168" s="318" t="s">
        <v>931</v>
      </c>
      <c r="D168" s="304" t="s">
        <v>932</v>
      </c>
      <c r="E168" s="306">
        <v>124</v>
      </c>
    </row>
    <row r="169" spans="1:5" ht="13.5" thickBot="1">
      <c r="A169" s="340"/>
      <c r="B169" s="342"/>
      <c r="C169" s="319" t="s">
        <v>933</v>
      </c>
      <c r="D169" s="309" t="s">
        <v>934</v>
      </c>
      <c r="E169" s="310">
        <v>124</v>
      </c>
    </row>
    <row r="170" spans="1:5" ht="22.5">
      <c r="A170" s="338" t="s">
        <v>935</v>
      </c>
      <c r="B170" s="343" t="s">
        <v>936</v>
      </c>
      <c r="C170" s="311">
        <v>701</v>
      </c>
      <c r="D170" s="301" t="s">
        <v>937</v>
      </c>
      <c r="E170" s="303">
        <v>125</v>
      </c>
    </row>
    <row r="171" spans="1:5">
      <c r="A171" s="339"/>
      <c r="B171" s="341"/>
      <c r="C171" s="318" t="s">
        <v>845</v>
      </c>
      <c r="D171" s="304" t="s">
        <v>938</v>
      </c>
      <c r="E171" s="306">
        <v>130</v>
      </c>
    </row>
    <row r="172" spans="1:5">
      <c r="A172" s="339"/>
      <c r="B172" s="341"/>
      <c r="C172" s="318" t="s">
        <v>847</v>
      </c>
      <c r="D172" s="304" t="s">
        <v>939</v>
      </c>
      <c r="E172" s="306">
        <v>130</v>
      </c>
    </row>
    <row r="173" spans="1:5">
      <c r="A173" s="339"/>
      <c r="B173" s="321" t="s">
        <v>940</v>
      </c>
      <c r="C173" s="322">
        <v>702</v>
      </c>
      <c r="D173" s="304" t="s">
        <v>941</v>
      </c>
      <c r="E173" s="306">
        <v>131</v>
      </c>
    </row>
    <row r="174" spans="1:5">
      <c r="A174" s="339"/>
      <c r="B174" s="321" t="s">
        <v>942</v>
      </c>
      <c r="C174" s="322">
        <v>703</v>
      </c>
      <c r="D174" s="304" t="s">
        <v>943</v>
      </c>
      <c r="E174" s="306">
        <v>133</v>
      </c>
    </row>
    <row r="175" spans="1:5">
      <c r="A175" s="339"/>
      <c r="B175" s="321" t="s">
        <v>944</v>
      </c>
      <c r="C175" s="322">
        <v>704</v>
      </c>
      <c r="D175" s="304" t="s">
        <v>945</v>
      </c>
      <c r="E175" s="306">
        <v>134</v>
      </c>
    </row>
    <row r="176" spans="1:5" ht="22.5">
      <c r="A176" s="339"/>
      <c r="B176" s="321" t="s">
        <v>946</v>
      </c>
      <c r="C176" s="322">
        <v>705</v>
      </c>
      <c r="D176" s="304" t="s">
        <v>947</v>
      </c>
      <c r="E176" s="306">
        <v>135</v>
      </c>
    </row>
    <row r="177" spans="1:5">
      <c r="A177" s="339"/>
      <c r="B177" s="321" t="s">
        <v>948</v>
      </c>
      <c r="C177" s="322">
        <v>706</v>
      </c>
      <c r="D177" s="304" t="s">
        <v>949</v>
      </c>
      <c r="E177" s="306">
        <v>136</v>
      </c>
    </row>
    <row r="178" spans="1:5" ht="22.5">
      <c r="A178" s="339"/>
      <c r="B178" s="321" t="s">
        <v>950</v>
      </c>
      <c r="C178" s="322">
        <v>707</v>
      </c>
      <c r="D178" s="304" t="s">
        <v>951</v>
      </c>
      <c r="E178" s="306">
        <v>136</v>
      </c>
    </row>
    <row r="179" spans="1:5">
      <c r="A179" s="339"/>
      <c r="B179" s="341" t="s">
        <v>902</v>
      </c>
      <c r="C179" s="318" t="s">
        <v>927</v>
      </c>
      <c r="D179" s="304" t="s">
        <v>952</v>
      </c>
      <c r="E179" s="306">
        <v>138</v>
      </c>
    </row>
    <row r="180" spans="1:5" ht="23.25" thickBot="1">
      <c r="A180" s="340"/>
      <c r="B180" s="354"/>
      <c r="C180" s="319" t="s">
        <v>929</v>
      </c>
      <c r="D180" s="309" t="s">
        <v>953</v>
      </c>
      <c r="E180" s="310">
        <v>138</v>
      </c>
    </row>
    <row r="181" spans="1:5" ht="22.5">
      <c r="A181" s="338" t="s">
        <v>954</v>
      </c>
      <c r="B181" s="301"/>
      <c r="C181" s="323">
        <v>801</v>
      </c>
      <c r="D181" s="301" t="s">
        <v>955</v>
      </c>
      <c r="E181" s="303">
        <v>139</v>
      </c>
    </row>
    <row r="182" spans="1:5" ht="22.5">
      <c r="A182" s="339"/>
      <c r="B182" s="341" t="s">
        <v>902</v>
      </c>
      <c r="C182" s="318" t="s">
        <v>845</v>
      </c>
      <c r="D182" s="304" t="s">
        <v>956</v>
      </c>
      <c r="E182" s="306">
        <v>165</v>
      </c>
    </row>
    <row r="183" spans="1:5">
      <c r="A183" s="339"/>
      <c r="B183" s="341"/>
      <c r="C183" s="318" t="s">
        <v>847</v>
      </c>
      <c r="D183" s="304" t="s">
        <v>957</v>
      </c>
      <c r="E183" s="306">
        <v>168</v>
      </c>
    </row>
    <row r="184" spans="1:5" ht="22.5">
      <c r="A184" s="339"/>
      <c r="B184" s="341"/>
      <c r="C184" s="318" t="s">
        <v>849</v>
      </c>
      <c r="D184" s="304" t="s">
        <v>958</v>
      </c>
      <c r="E184" s="306">
        <v>168</v>
      </c>
    </row>
    <row r="185" spans="1:5" ht="22.5">
      <c r="A185" s="339"/>
      <c r="B185" s="341"/>
      <c r="C185" s="318" t="s">
        <v>851</v>
      </c>
      <c r="D185" s="304" t="s">
        <v>959</v>
      </c>
      <c r="E185" s="306">
        <v>169</v>
      </c>
    </row>
    <row r="186" spans="1:5" ht="22.5">
      <c r="A186" s="339"/>
      <c r="B186" s="341"/>
      <c r="C186" s="318" t="s">
        <v>853</v>
      </c>
      <c r="D186" s="304" t="s">
        <v>960</v>
      </c>
      <c r="E186" s="306">
        <v>170</v>
      </c>
    </row>
    <row r="187" spans="1:5" ht="22.5">
      <c r="A187" s="339"/>
      <c r="B187" s="341"/>
      <c r="C187" s="318" t="s">
        <v>236</v>
      </c>
      <c r="D187" s="304" t="s">
        <v>961</v>
      </c>
      <c r="E187" s="306">
        <v>170</v>
      </c>
    </row>
    <row r="188" spans="1:5" ht="22.5">
      <c r="A188" s="339"/>
      <c r="B188" s="341"/>
      <c r="C188" s="318" t="s">
        <v>910</v>
      </c>
      <c r="D188" s="304" t="s">
        <v>962</v>
      </c>
      <c r="E188" s="306">
        <v>170</v>
      </c>
    </row>
    <row r="189" spans="1:5" ht="22.5">
      <c r="A189" s="339"/>
      <c r="B189" s="324"/>
      <c r="C189" s="312">
        <v>802</v>
      </c>
      <c r="D189" s="304" t="s">
        <v>963</v>
      </c>
      <c r="E189" s="306">
        <v>171</v>
      </c>
    </row>
    <row r="190" spans="1:5" ht="22.5">
      <c r="A190" s="339"/>
      <c r="B190" s="304" t="s">
        <v>441</v>
      </c>
      <c r="C190" s="318" t="s">
        <v>845</v>
      </c>
      <c r="D190" s="304" t="s">
        <v>964</v>
      </c>
      <c r="E190" s="306">
        <v>182</v>
      </c>
    </row>
    <row r="191" spans="1:5" ht="13.5" thickBot="1">
      <c r="A191" s="340"/>
      <c r="B191" s="325"/>
      <c r="C191" s="316">
        <v>803</v>
      </c>
      <c r="D191" s="309" t="s">
        <v>965</v>
      </c>
      <c r="E191" s="310">
        <v>182</v>
      </c>
    </row>
    <row r="192" spans="1:5">
      <c r="A192" s="326"/>
      <c r="B192" s="326"/>
      <c r="C192" s="326"/>
      <c r="D192" s="327"/>
      <c r="E192" s="326"/>
    </row>
    <row r="193" spans="1:5">
      <c r="A193" s="326"/>
      <c r="B193" s="326"/>
      <c r="C193" s="326"/>
      <c r="D193" s="327"/>
      <c r="E193" s="326"/>
    </row>
    <row r="194" spans="1:5">
      <c r="A194" s="326"/>
      <c r="B194" s="326"/>
      <c r="C194" s="326"/>
      <c r="D194" s="327"/>
      <c r="E194" s="326"/>
    </row>
    <row r="195" spans="1:5">
      <c r="A195" s="326"/>
      <c r="B195" s="326"/>
      <c r="C195" s="326"/>
      <c r="D195" s="327"/>
      <c r="E195" s="326"/>
    </row>
    <row r="196" spans="1:5">
      <c r="A196" s="326"/>
      <c r="B196" s="326"/>
      <c r="C196" s="326"/>
      <c r="D196" s="327"/>
      <c r="E196" s="326"/>
    </row>
    <row r="197" spans="1:5">
      <c r="A197" s="326"/>
      <c r="B197" s="326"/>
      <c r="C197" s="326"/>
      <c r="D197" s="327"/>
      <c r="E197" s="326"/>
    </row>
    <row r="198" spans="1:5">
      <c r="A198" s="326"/>
      <c r="B198" s="326"/>
      <c r="C198" s="326"/>
      <c r="D198" s="327"/>
      <c r="E198" s="326"/>
    </row>
    <row r="199" spans="1:5">
      <c r="A199" s="326"/>
      <c r="B199" s="326"/>
      <c r="C199" s="326"/>
      <c r="D199" s="327"/>
      <c r="E199" s="326"/>
    </row>
    <row r="200" spans="1:5">
      <c r="A200" s="326"/>
      <c r="B200" s="326"/>
      <c r="C200" s="326"/>
      <c r="D200" s="327"/>
      <c r="E200" s="326"/>
    </row>
    <row r="201" spans="1:5">
      <c r="A201" s="326"/>
      <c r="B201" s="326"/>
      <c r="C201" s="326"/>
      <c r="D201" s="327"/>
      <c r="E201" s="326"/>
    </row>
    <row r="202" spans="1:5">
      <c r="A202" s="326"/>
      <c r="B202" s="326"/>
      <c r="C202" s="326"/>
      <c r="D202" s="327"/>
      <c r="E202" s="326"/>
    </row>
    <row r="203" spans="1:5">
      <c r="A203" s="326"/>
      <c r="B203" s="326"/>
      <c r="C203" s="326"/>
      <c r="D203" s="327"/>
      <c r="E203" s="326"/>
    </row>
    <row r="204" spans="1:5">
      <c r="A204" s="326"/>
      <c r="B204" s="326"/>
      <c r="C204" s="326"/>
      <c r="D204" s="327"/>
      <c r="E204" s="326"/>
    </row>
    <row r="205" spans="1:5">
      <c r="A205" s="326"/>
      <c r="B205" s="326"/>
      <c r="C205" s="326"/>
      <c r="D205" s="327"/>
      <c r="E205" s="326"/>
    </row>
    <row r="206" spans="1:5">
      <c r="A206" s="326"/>
      <c r="B206" s="326"/>
      <c r="C206" s="326"/>
      <c r="D206" s="327"/>
      <c r="E206" s="326"/>
    </row>
    <row r="207" spans="1:5">
      <c r="A207" s="326"/>
      <c r="B207" s="326"/>
      <c r="C207" s="326"/>
      <c r="D207" s="327"/>
      <c r="E207" s="326"/>
    </row>
    <row r="208" spans="1:5">
      <c r="A208" s="326"/>
      <c r="B208" s="326"/>
      <c r="C208" s="326"/>
      <c r="D208" s="327"/>
      <c r="E208" s="326"/>
    </row>
    <row r="209" spans="1:5">
      <c r="A209" s="326"/>
      <c r="B209" s="326"/>
      <c r="C209" s="326"/>
      <c r="D209" s="327"/>
      <c r="E209" s="326"/>
    </row>
    <row r="210" spans="1:5">
      <c r="A210" s="326"/>
      <c r="B210" s="326"/>
      <c r="C210" s="326"/>
      <c r="D210" s="327"/>
      <c r="E210" s="326"/>
    </row>
    <row r="211" spans="1:5">
      <c r="A211" s="326"/>
      <c r="B211" s="326"/>
      <c r="C211" s="326"/>
      <c r="D211" s="327"/>
      <c r="E211" s="326"/>
    </row>
    <row r="212" spans="1:5">
      <c r="A212" s="326"/>
      <c r="B212" s="326"/>
      <c r="C212" s="326"/>
      <c r="D212" s="327"/>
      <c r="E212" s="326"/>
    </row>
    <row r="213" spans="1:5">
      <c r="A213" s="326"/>
      <c r="B213" s="326"/>
      <c r="C213" s="326"/>
      <c r="D213" s="327"/>
      <c r="E213" s="326"/>
    </row>
    <row r="214" spans="1:5">
      <c r="A214" s="326"/>
      <c r="B214" s="326"/>
      <c r="C214" s="326"/>
      <c r="D214" s="327"/>
      <c r="E214" s="326"/>
    </row>
    <row r="215" spans="1:5">
      <c r="A215" s="326"/>
      <c r="B215" s="326"/>
      <c r="C215" s="326"/>
      <c r="D215" s="327"/>
      <c r="E215" s="326"/>
    </row>
    <row r="216" spans="1:5">
      <c r="A216" s="326"/>
      <c r="B216" s="326"/>
      <c r="C216" s="326"/>
      <c r="D216" s="327"/>
      <c r="E216" s="326"/>
    </row>
    <row r="217" spans="1:5">
      <c r="A217" s="326"/>
      <c r="B217" s="326"/>
      <c r="C217" s="326"/>
      <c r="D217" s="327"/>
      <c r="E217" s="326"/>
    </row>
    <row r="218" spans="1:5">
      <c r="A218" s="326"/>
      <c r="B218" s="326"/>
      <c r="C218" s="326"/>
      <c r="D218" s="327"/>
      <c r="E218" s="326"/>
    </row>
    <row r="219" spans="1:5">
      <c r="A219" s="326"/>
      <c r="B219" s="326"/>
      <c r="C219" s="326"/>
      <c r="D219" s="327"/>
      <c r="E219" s="326"/>
    </row>
    <row r="220" spans="1:5">
      <c r="A220" s="326"/>
      <c r="B220" s="326"/>
      <c r="C220" s="326"/>
      <c r="D220" s="327"/>
      <c r="E220" s="326"/>
    </row>
    <row r="221" spans="1:5">
      <c r="A221" s="326"/>
      <c r="B221" s="326"/>
      <c r="C221" s="326"/>
      <c r="D221" s="327"/>
      <c r="E221" s="326"/>
    </row>
    <row r="222" spans="1:5">
      <c r="A222" s="326"/>
      <c r="B222" s="326"/>
      <c r="C222" s="326"/>
      <c r="D222" s="327"/>
      <c r="E222" s="326"/>
    </row>
    <row r="223" spans="1:5">
      <c r="A223" s="326"/>
      <c r="B223" s="326"/>
      <c r="C223" s="326"/>
      <c r="D223" s="327"/>
      <c r="E223" s="326"/>
    </row>
    <row r="224" spans="1:5">
      <c r="A224" s="326"/>
      <c r="B224" s="326"/>
      <c r="C224" s="326"/>
      <c r="D224" s="327"/>
      <c r="E224" s="326"/>
    </row>
    <row r="225" spans="1:5">
      <c r="A225" s="326"/>
      <c r="B225" s="326"/>
      <c r="C225" s="326"/>
      <c r="D225" s="327"/>
      <c r="E225" s="326"/>
    </row>
    <row r="226" spans="1:5">
      <c r="A226" s="326"/>
      <c r="B226" s="326"/>
      <c r="C226" s="326"/>
      <c r="D226" s="327"/>
      <c r="E226" s="326"/>
    </row>
    <row r="227" spans="1:5">
      <c r="A227" s="326"/>
      <c r="B227" s="326"/>
      <c r="C227" s="326"/>
      <c r="D227" s="327"/>
      <c r="E227" s="326"/>
    </row>
    <row r="228" spans="1:5">
      <c r="A228" s="326"/>
      <c r="B228" s="326"/>
      <c r="C228" s="326"/>
      <c r="D228" s="327"/>
      <c r="E228" s="326"/>
    </row>
    <row r="229" spans="1:5">
      <c r="A229" s="326"/>
      <c r="B229" s="326"/>
      <c r="C229" s="326"/>
      <c r="D229" s="327"/>
      <c r="E229" s="326"/>
    </row>
    <row r="230" spans="1:5">
      <c r="A230" s="326"/>
      <c r="B230" s="326"/>
      <c r="C230" s="326"/>
      <c r="D230" s="327"/>
      <c r="E230" s="326"/>
    </row>
    <row r="231" spans="1:5">
      <c r="A231" s="326"/>
      <c r="B231" s="326"/>
      <c r="C231" s="326"/>
      <c r="D231" s="327"/>
      <c r="E231" s="326"/>
    </row>
    <row r="232" spans="1:5">
      <c r="A232" s="326"/>
      <c r="B232" s="326"/>
      <c r="C232" s="326"/>
      <c r="D232" s="327"/>
      <c r="E232" s="326"/>
    </row>
    <row r="233" spans="1:5">
      <c r="A233" s="326"/>
      <c r="B233" s="326"/>
      <c r="C233" s="326"/>
      <c r="D233" s="327"/>
      <c r="E233" s="326"/>
    </row>
    <row r="234" spans="1:5">
      <c r="A234" s="326"/>
      <c r="B234" s="326"/>
      <c r="C234" s="326"/>
      <c r="D234" s="327"/>
      <c r="E234" s="326"/>
    </row>
    <row r="235" spans="1:5">
      <c r="A235" s="326"/>
      <c r="B235" s="326"/>
      <c r="C235" s="326"/>
      <c r="D235" s="327"/>
      <c r="E235" s="326"/>
    </row>
    <row r="236" spans="1:5">
      <c r="A236" s="326"/>
      <c r="B236" s="326"/>
      <c r="C236" s="326"/>
      <c r="D236" s="327"/>
      <c r="E236" s="326"/>
    </row>
    <row r="237" spans="1:5">
      <c r="A237" s="326"/>
      <c r="B237" s="326"/>
      <c r="C237" s="326"/>
      <c r="D237" s="327"/>
      <c r="E237" s="326"/>
    </row>
    <row r="238" spans="1:5">
      <c r="A238" s="326"/>
      <c r="B238" s="326"/>
      <c r="C238" s="326"/>
      <c r="D238" s="327"/>
      <c r="E238" s="326"/>
    </row>
    <row r="239" spans="1:5">
      <c r="A239" s="326"/>
      <c r="B239" s="326"/>
      <c r="C239" s="326"/>
      <c r="D239" s="327"/>
      <c r="E239" s="326"/>
    </row>
    <row r="240" spans="1:5">
      <c r="A240" s="326"/>
      <c r="B240" s="326"/>
      <c r="C240" s="326"/>
      <c r="D240" s="327"/>
      <c r="E240" s="326"/>
    </row>
    <row r="241" spans="1:5">
      <c r="A241" s="326"/>
      <c r="B241" s="326"/>
      <c r="C241" s="326"/>
      <c r="D241" s="327"/>
      <c r="E241" s="326"/>
    </row>
    <row r="242" spans="1:5">
      <c r="A242" s="326"/>
      <c r="B242" s="326"/>
      <c r="C242" s="326"/>
      <c r="D242" s="327"/>
      <c r="E242" s="326"/>
    </row>
    <row r="243" spans="1:5">
      <c r="A243" s="326"/>
      <c r="B243" s="326"/>
      <c r="C243" s="326"/>
      <c r="D243" s="327"/>
      <c r="E243" s="326"/>
    </row>
    <row r="244" spans="1:5">
      <c r="A244" s="326"/>
      <c r="B244" s="326"/>
      <c r="C244" s="326"/>
      <c r="D244" s="327"/>
      <c r="E244" s="326"/>
    </row>
    <row r="245" spans="1:5">
      <c r="A245" s="326"/>
      <c r="B245" s="326"/>
      <c r="C245" s="326"/>
      <c r="D245" s="327"/>
      <c r="E245" s="326"/>
    </row>
    <row r="246" spans="1:5">
      <c r="A246" s="326"/>
      <c r="B246" s="326"/>
      <c r="C246" s="326"/>
      <c r="D246" s="327"/>
      <c r="E246" s="326"/>
    </row>
    <row r="247" spans="1:5">
      <c r="A247" s="326"/>
      <c r="B247" s="326"/>
      <c r="C247" s="326"/>
      <c r="D247" s="327"/>
      <c r="E247" s="326"/>
    </row>
    <row r="248" spans="1:5">
      <c r="A248" s="326"/>
      <c r="B248" s="326"/>
      <c r="C248" s="326"/>
      <c r="D248" s="327"/>
      <c r="E248" s="326"/>
    </row>
    <row r="249" spans="1:5">
      <c r="A249" s="326"/>
      <c r="B249" s="326"/>
      <c r="C249" s="326"/>
      <c r="D249" s="327"/>
      <c r="E249" s="326"/>
    </row>
    <row r="250" spans="1:5">
      <c r="A250" s="326"/>
      <c r="B250" s="326"/>
      <c r="C250" s="326"/>
      <c r="D250" s="327"/>
      <c r="E250" s="326"/>
    </row>
    <row r="251" spans="1:5">
      <c r="A251" s="326"/>
      <c r="B251" s="326"/>
      <c r="C251" s="326"/>
      <c r="D251" s="327"/>
      <c r="E251" s="326"/>
    </row>
    <row r="252" spans="1:5">
      <c r="A252" s="326"/>
      <c r="B252" s="326"/>
      <c r="C252" s="326"/>
      <c r="D252" s="327"/>
      <c r="E252" s="326"/>
    </row>
    <row r="253" spans="1:5">
      <c r="A253" s="326"/>
      <c r="B253" s="326"/>
      <c r="C253" s="326"/>
      <c r="D253" s="327"/>
      <c r="E253" s="326"/>
    </row>
    <row r="254" spans="1:5">
      <c r="A254" s="326"/>
      <c r="B254" s="326"/>
      <c r="C254" s="326"/>
      <c r="D254" s="327"/>
      <c r="E254" s="326"/>
    </row>
    <row r="255" spans="1:5">
      <c r="A255" s="326"/>
      <c r="B255" s="326"/>
      <c r="C255" s="326"/>
      <c r="D255" s="327"/>
      <c r="E255" s="326"/>
    </row>
    <row r="256" spans="1:5">
      <c r="A256" s="326"/>
      <c r="B256" s="326"/>
      <c r="C256" s="326"/>
      <c r="D256" s="327"/>
      <c r="E256" s="326"/>
    </row>
    <row r="257" spans="1:5">
      <c r="A257" s="326"/>
      <c r="B257" s="326"/>
      <c r="C257" s="326"/>
      <c r="D257" s="327"/>
      <c r="E257" s="326"/>
    </row>
    <row r="258" spans="1:5">
      <c r="A258" s="326"/>
      <c r="B258" s="326"/>
      <c r="C258" s="326"/>
      <c r="D258" s="327"/>
      <c r="E258" s="326"/>
    </row>
    <row r="259" spans="1:5">
      <c r="A259" s="326"/>
      <c r="B259" s="326"/>
      <c r="C259" s="326"/>
      <c r="D259" s="327"/>
      <c r="E259" s="326"/>
    </row>
    <row r="260" spans="1:5">
      <c r="A260" s="326"/>
      <c r="B260" s="326"/>
      <c r="C260" s="326"/>
      <c r="D260" s="327"/>
      <c r="E260" s="326"/>
    </row>
    <row r="261" spans="1:5">
      <c r="A261" s="326"/>
      <c r="B261" s="326"/>
      <c r="C261" s="326"/>
      <c r="D261" s="327"/>
      <c r="E261" s="326"/>
    </row>
    <row r="262" spans="1:5">
      <c r="A262" s="326"/>
      <c r="B262" s="326"/>
      <c r="C262" s="326"/>
      <c r="D262" s="327"/>
      <c r="E262" s="326"/>
    </row>
    <row r="263" spans="1:5">
      <c r="A263" s="326"/>
      <c r="B263" s="326"/>
      <c r="C263" s="326"/>
      <c r="D263" s="327"/>
      <c r="E263" s="326"/>
    </row>
    <row r="264" spans="1:5">
      <c r="A264" s="326"/>
      <c r="B264" s="326"/>
      <c r="C264" s="326"/>
      <c r="D264" s="327"/>
      <c r="E264" s="326"/>
    </row>
    <row r="265" spans="1:5">
      <c r="A265" s="326"/>
      <c r="B265" s="326"/>
      <c r="C265" s="326"/>
      <c r="D265" s="327"/>
      <c r="E265" s="326"/>
    </row>
    <row r="266" spans="1:5">
      <c r="A266" s="326"/>
      <c r="B266" s="326"/>
      <c r="C266" s="326"/>
      <c r="D266" s="327"/>
      <c r="E266" s="326"/>
    </row>
    <row r="267" spans="1:5">
      <c r="A267" s="326"/>
      <c r="B267" s="326"/>
      <c r="C267" s="326"/>
      <c r="D267" s="327"/>
      <c r="E267" s="326"/>
    </row>
    <row r="268" spans="1:5">
      <c r="A268" s="326"/>
      <c r="B268" s="326"/>
      <c r="C268" s="326"/>
      <c r="D268" s="327"/>
      <c r="E268" s="326"/>
    </row>
    <row r="269" spans="1:5">
      <c r="A269" s="326"/>
      <c r="B269" s="326"/>
      <c r="C269" s="326"/>
      <c r="D269" s="327"/>
      <c r="E269" s="326"/>
    </row>
    <row r="270" spans="1:5">
      <c r="A270" s="326"/>
      <c r="B270" s="326"/>
      <c r="C270" s="326"/>
      <c r="D270" s="327"/>
      <c r="E270" s="326"/>
    </row>
    <row r="271" spans="1:5">
      <c r="A271" s="326"/>
      <c r="B271" s="326"/>
      <c r="C271" s="326"/>
      <c r="D271" s="327"/>
      <c r="E271" s="326"/>
    </row>
    <row r="272" spans="1:5">
      <c r="A272" s="326"/>
      <c r="B272" s="326"/>
      <c r="C272" s="326"/>
      <c r="D272" s="327"/>
      <c r="E272" s="326"/>
    </row>
    <row r="273" spans="1:5">
      <c r="A273" s="326"/>
      <c r="B273" s="326"/>
      <c r="C273" s="326"/>
      <c r="D273" s="327"/>
      <c r="E273" s="326"/>
    </row>
    <row r="274" spans="1:5">
      <c r="A274" s="326"/>
      <c r="B274" s="326"/>
      <c r="C274" s="326"/>
      <c r="D274" s="327"/>
      <c r="E274" s="326"/>
    </row>
    <row r="275" spans="1:5">
      <c r="A275" s="326"/>
      <c r="B275" s="326"/>
      <c r="C275" s="326"/>
      <c r="D275" s="327"/>
      <c r="E275" s="326"/>
    </row>
    <row r="276" spans="1:5">
      <c r="A276" s="326"/>
      <c r="B276" s="326"/>
      <c r="C276" s="326"/>
      <c r="D276" s="327"/>
      <c r="E276" s="326"/>
    </row>
    <row r="277" spans="1:5">
      <c r="A277" s="326"/>
      <c r="B277" s="326"/>
      <c r="C277" s="326"/>
      <c r="D277" s="327"/>
      <c r="E277" s="326"/>
    </row>
    <row r="278" spans="1:5">
      <c r="A278" s="326"/>
      <c r="B278" s="326"/>
      <c r="C278" s="326"/>
      <c r="D278" s="327"/>
      <c r="E278" s="326"/>
    </row>
    <row r="279" spans="1:5">
      <c r="A279" s="326"/>
      <c r="B279" s="326"/>
      <c r="C279" s="326"/>
      <c r="D279" s="327"/>
      <c r="E279" s="326"/>
    </row>
    <row r="280" spans="1:5">
      <c r="A280" s="326"/>
      <c r="B280" s="326"/>
      <c r="C280" s="326"/>
      <c r="D280" s="327"/>
      <c r="E280" s="326"/>
    </row>
    <row r="281" spans="1:5">
      <c r="A281" s="326"/>
      <c r="B281" s="326"/>
      <c r="C281" s="326"/>
      <c r="D281" s="327"/>
      <c r="E281" s="326"/>
    </row>
    <row r="282" spans="1:5">
      <c r="A282" s="326"/>
      <c r="B282" s="326"/>
      <c r="C282" s="326"/>
      <c r="D282" s="327"/>
      <c r="E282" s="326"/>
    </row>
    <row r="283" spans="1:5">
      <c r="A283" s="326"/>
      <c r="B283" s="326"/>
      <c r="C283" s="326"/>
      <c r="D283" s="327"/>
      <c r="E283" s="326"/>
    </row>
    <row r="284" spans="1:5">
      <c r="A284" s="326"/>
      <c r="B284" s="326"/>
      <c r="C284" s="326"/>
      <c r="D284" s="327"/>
      <c r="E284" s="326"/>
    </row>
    <row r="285" spans="1:5">
      <c r="A285" s="326"/>
      <c r="B285" s="326"/>
      <c r="C285" s="326"/>
      <c r="D285" s="327"/>
      <c r="E285" s="326"/>
    </row>
    <row r="286" spans="1:5">
      <c r="A286" s="326"/>
      <c r="B286" s="326"/>
      <c r="C286" s="326"/>
      <c r="D286" s="327"/>
      <c r="E286" s="326"/>
    </row>
    <row r="287" spans="1:5">
      <c r="A287" s="326"/>
      <c r="B287" s="326"/>
      <c r="C287" s="326"/>
      <c r="D287" s="327"/>
      <c r="E287" s="326"/>
    </row>
    <row r="288" spans="1:5">
      <c r="A288" s="326"/>
      <c r="B288" s="326"/>
      <c r="C288" s="326"/>
      <c r="D288" s="327"/>
      <c r="E288" s="326"/>
    </row>
    <row r="289" spans="1:5">
      <c r="A289" s="326"/>
      <c r="B289" s="326"/>
      <c r="C289" s="326"/>
      <c r="D289" s="327"/>
      <c r="E289" s="326"/>
    </row>
    <row r="290" spans="1:5">
      <c r="A290" s="326"/>
      <c r="B290" s="326"/>
      <c r="C290" s="326"/>
      <c r="D290" s="327"/>
      <c r="E290" s="326"/>
    </row>
    <row r="291" spans="1:5">
      <c r="A291" s="326"/>
      <c r="B291" s="326"/>
      <c r="C291" s="326"/>
      <c r="D291" s="327"/>
      <c r="E291" s="326"/>
    </row>
    <row r="292" spans="1:5">
      <c r="A292" s="326"/>
      <c r="B292" s="326"/>
      <c r="C292" s="326"/>
      <c r="D292" s="327"/>
      <c r="E292" s="326"/>
    </row>
    <row r="293" spans="1:5">
      <c r="A293" s="326"/>
      <c r="B293" s="326"/>
      <c r="C293" s="326"/>
      <c r="D293" s="327"/>
      <c r="E293" s="326"/>
    </row>
    <row r="294" spans="1:5">
      <c r="A294" s="326"/>
      <c r="B294" s="326"/>
      <c r="C294" s="326"/>
      <c r="D294" s="327"/>
      <c r="E294" s="326"/>
    </row>
    <row r="295" spans="1:5">
      <c r="A295" s="326"/>
      <c r="B295" s="326"/>
      <c r="C295" s="326"/>
      <c r="D295" s="327"/>
      <c r="E295" s="326"/>
    </row>
    <row r="296" spans="1:5">
      <c r="A296" s="326"/>
      <c r="B296" s="326"/>
      <c r="C296" s="326"/>
      <c r="D296" s="327"/>
      <c r="E296" s="326"/>
    </row>
    <row r="297" spans="1:5">
      <c r="A297" s="326"/>
      <c r="B297" s="326"/>
      <c r="C297" s="326"/>
      <c r="D297" s="327"/>
      <c r="E297" s="326"/>
    </row>
    <row r="298" spans="1:5">
      <c r="A298" s="326"/>
      <c r="B298" s="326"/>
      <c r="C298" s="326"/>
      <c r="D298" s="327"/>
      <c r="E298" s="326"/>
    </row>
    <row r="299" spans="1:5">
      <c r="A299" s="326"/>
      <c r="B299" s="326"/>
      <c r="C299" s="326"/>
      <c r="D299" s="327"/>
      <c r="E299" s="326"/>
    </row>
    <row r="300" spans="1:5">
      <c r="A300" s="326"/>
      <c r="B300" s="326"/>
      <c r="C300" s="326"/>
      <c r="D300" s="327"/>
      <c r="E300" s="326"/>
    </row>
    <row r="301" spans="1:5">
      <c r="A301" s="326"/>
      <c r="B301" s="326"/>
      <c r="C301" s="326"/>
      <c r="D301" s="327"/>
      <c r="E301" s="326"/>
    </row>
    <row r="302" spans="1:5">
      <c r="A302" s="326"/>
      <c r="B302" s="326"/>
      <c r="C302" s="326"/>
      <c r="D302" s="327"/>
      <c r="E302" s="326"/>
    </row>
    <row r="303" spans="1:5">
      <c r="A303" s="326"/>
      <c r="B303" s="326"/>
      <c r="C303" s="326"/>
      <c r="D303" s="327"/>
      <c r="E303" s="326"/>
    </row>
    <row r="304" spans="1:5">
      <c r="A304" s="326"/>
      <c r="B304" s="326"/>
      <c r="C304" s="326"/>
      <c r="D304" s="327"/>
      <c r="E304" s="326"/>
    </row>
    <row r="305" spans="1:5">
      <c r="A305" s="326"/>
      <c r="B305" s="326"/>
      <c r="C305" s="326"/>
      <c r="D305" s="327"/>
      <c r="E305" s="326"/>
    </row>
    <row r="306" spans="1:5">
      <c r="A306" s="326"/>
      <c r="B306" s="326"/>
      <c r="C306" s="326"/>
      <c r="D306" s="327"/>
      <c r="E306" s="326"/>
    </row>
    <row r="307" spans="1:5">
      <c r="A307" s="326"/>
      <c r="B307" s="326"/>
      <c r="C307" s="326"/>
      <c r="D307" s="327"/>
      <c r="E307" s="326"/>
    </row>
    <row r="308" spans="1:5">
      <c r="A308" s="326"/>
      <c r="B308" s="326"/>
      <c r="C308" s="326"/>
      <c r="D308" s="327"/>
      <c r="E308" s="326"/>
    </row>
    <row r="309" spans="1:5">
      <c r="A309" s="326"/>
      <c r="B309" s="326"/>
      <c r="C309" s="326"/>
      <c r="D309" s="327"/>
      <c r="E309" s="326"/>
    </row>
    <row r="310" spans="1:5">
      <c r="A310" s="326"/>
      <c r="B310" s="326"/>
      <c r="C310" s="326"/>
      <c r="D310" s="327"/>
      <c r="E310" s="326"/>
    </row>
    <row r="311" spans="1:5">
      <c r="A311" s="326"/>
      <c r="B311" s="326"/>
      <c r="C311" s="326"/>
      <c r="D311" s="327"/>
      <c r="E311" s="326"/>
    </row>
    <row r="312" spans="1:5">
      <c r="A312" s="326"/>
      <c r="B312" s="326"/>
      <c r="C312" s="326"/>
      <c r="D312" s="327"/>
      <c r="E312" s="326"/>
    </row>
    <row r="313" spans="1:5">
      <c r="A313" s="326"/>
      <c r="B313" s="326"/>
      <c r="C313" s="326"/>
      <c r="D313" s="327"/>
      <c r="E313" s="326"/>
    </row>
    <row r="314" spans="1:5">
      <c r="A314" s="326"/>
      <c r="B314" s="326"/>
      <c r="C314" s="326"/>
      <c r="D314" s="327"/>
      <c r="E314" s="326"/>
    </row>
    <row r="315" spans="1:5">
      <c r="A315" s="326"/>
      <c r="B315" s="326"/>
      <c r="C315" s="326"/>
      <c r="D315" s="327"/>
      <c r="E315" s="326"/>
    </row>
    <row r="316" spans="1:5">
      <c r="A316" s="326"/>
      <c r="B316" s="326"/>
      <c r="C316" s="326"/>
      <c r="D316" s="327"/>
      <c r="E316" s="326"/>
    </row>
    <row r="317" spans="1:5">
      <c r="A317" s="326"/>
      <c r="B317" s="326"/>
      <c r="C317" s="326"/>
      <c r="D317" s="327"/>
      <c r="E317" s="326"/>
    </row>
    <row r="318" spans="1:5">
      <c r="A318" s="326"/>
      <c r="B318" s="326"/>
      <c r="C318" s="326"/>
      <c r="D318" s="327"/>
      <c r="E318" s="326"/>
    </row>
    <row r="319" spans="1:5">
      <c r="A319" s="326"/>
      <c r="B319" s="326"/>
      <c r="C319" s="326"/>
      <c r="D319" s="327"/>
      <c r="E319" s="326"/>
    </row>
    <row r="320" spans="1:5">
      <c r="A320" s="326"/>
      <c r="B320" s="326"/>
      <c r="C320" s="326"/>
      <c r="D320" s="327"/>
      <c r="E320" s="326"/>
    </row>
    <row r="321" spans="1:5">
      <c r="A321" s="326"/>
      <c r="B321" s="326"/>
      <c r="C321" s="326"/>
      <c r="D321" s="327"/>
      <c r="E321" s="326"/>
    </row>
    <row r="322" spans="1:5">
      <c r="A322" s="326"/>
      <c r="B322" s="326"/>
      <c r="C322" s="326"/>
      <c r="D322" s="327"/>
      <c r="E322" s="326"/>
    </row>
    <row r="323" spans="1:5">
      <c r="A323" s="326"/>
      <c r="B323" s="326"/>
      <c r="C323" s="326"/>
      <c r="D323" s="327"/>
      <c r="E323" s="326"/>
    </row>
    <row r="324" spans="1:5">
      <c r="A324" s="326"/>
      <c r="B324" s="326"/>
      <c r="C324" s="326"/>
      <c r="D324" s="327"/>
      <c r="E324" s="326"/>
    </row>
    <row r="325" spans="1:5">
      <c r="A325" s="326"/>
      <c r="B325" s="326"/>
      <c r="C325" s="326"/>
      <c r="D325" s="327"/>
      <c r="E325" s="326"/>
    </row>
    <row r="326" spans="1:5">
      <c r="A326" s="326"/>
      <c r="B326" s="326"/>
      <c r="C326" s="326"/>
      <c r="D326" s="327"/>
      <c r="E326" s="326"/>
    </row>
    <row r="327" spans="1:5">
      <c r="A327" s="326"/>
      <c r="B327" s="326"/>
      <c r="C327" s="326"/>
      <c r="D327" s="327"/>
      <c r="E327" s="326"/>
    </row>
    <row r="328" spans="1:5">
      <c r="A328" s="326"/>
      <c r="B328" s="326"/>
      <c r="C328" s="326"/>
      <c r="D328" s="327"/>
      <c r="E328" s="326"/>
    </row>
    <row r="329" spans="1:5">
      <c r="A329" s="326"/>
      <c r="B329" s="326"/>
      <c r="C329" s="326"/>
      <c r="D329" s="327"/>
      <c r="E329" s="326"/>
    </row>
    <row r="330" spans="1:5">
      <c r="A330" s="326"/>
      <c r="B330" s="326"/>
      <c r="C330" s="326"/>
      <c r="D330" s="327"/>
      <c r="E330" s="326"/>
    </row>
    <row r="331" spans="1:5">
      <c r="A331" s="326"/>
      <c r="B331" s="326"/>
      <c r="C331" s="326"/>
      <c r="D331" s="327"/>
      <c r="E331" s="326"/>
    </row>
    <row r="332" spans="1:5">
      <c r="A332" s="326"/>
      <c r="B332" s="326"/>
      <c r="C332" s="326"/>
      <c r="D332" s="327"/>
      <c r="E332" s="326"/>
    </row>
    <row r="333" spans="1:5">
      <c r="A333" s="326"/>
      <c r="B333" s="326"/>
      <c r="C333" s="326"/>
      <c r="D333" s="327"/>
      <c r="E333" s="326"/>
    </row>
    <row r="334" spans="1:5">
      <c r="A334" s="326"/>
      <c r="B334" s="326"/>
      <c r="C334" s="326"/>
      <c r="D334" s="327"/>
      <c r="E334" s="326"/>
    </row>
    <row r="335" spans="1:5">
      <c r="A335" s="326"/>
      <c r="B335" s="326"/>
      <c r="C335" s="326"/>
      <c r="D335" s="327"/>
      <c r="E335" s="326"/>
    </row>
    <row r="336" spans="1:5">
      <c r="A336" s="326"/>
      <c r="B336" s="326"/>
      <c r="C336" s="326"/>
      <c r="D336" s="327"/>
      <c r="E336" s="326"/>
    </row>
    <row r="337" spans="1:5">
      <c r="A337" s="326"/>
      <c r="B337" s="326"/>
      <c r="C337" s="326"/>
      <c r="D337" s="327"/>
      <c r="E337" s="326"/>
    </row>
    <row r="338" spans="1:5">
      <c r="A338" s="326"/>
      <c r="B338" s="326"/>
      <c r="C338" s="326"/>
      <c r="D338" s="327"/>
      <c r="E338" s="326"/>
    </row>
    <row r="339" spans="1:5">
      <c r="A339" s="326"/>
      <c r="B339" s="326"/>
      <c r="C339" s="326"/>
      <c r="D339" s="327"/>
      <c r="E339" s="326"/>
    </row>
    <row r="340" spans="1:5">
      <c r="A340" s="326"/>
      <c r="B340" s="326"/>
      <c r="C340" s="326"/>
      <c r="D340" s="327"/>
      <c r="E340" s="326"/>
    </row>
    <row r="341" spans="1:5">
      <c r="A341" s="326"/>
      <c r="B341" s="326"/>
      <c r="C341" s="326"/>
      <c r="D341" s="327"/>
      <c r="E341" s="326"/>
    </row>
    <row r="342" spans="1:5">
      <c r="A342" s="326"/>
      <c r="B342" s="326"/>
      <c r="C342" s="326"/>
      <c r="D342" s="327"/>
      <c r="E342" s="326"/>
    </row>
    <row r="343" spans="1:5">
      <c r="A343" s="326"/>
      <c r="B343" s="326"/>
      <c r="C343" s="326"/>
      <c r="D343" s="327"/>
      <c r="E343" s="326"/>
    </row>
    <row r="344" spans="1:5">
      <c r="A344" s="326"/>
      <c r="B344" s="326"/>
      <c r="C344" s="326"/>
      <c r="D344" s="327"/>
      <c r="E344" s="326"/>
    </row>
    <row r="345" spans="1:5">
      <c r="A345" s="326"/>
      <c r="B345" s="326"/>
      <c r="C345" s="326"/>
      <c r="D345" s="327"/>
      <c r="E345" s="326"/>
    </row>
    <row r="346" spans="1:5">
      <c r="A346" s="326"/>
      <c r="B346" s="326"/>
      <c r="C346" s="326"/>
      <c r="D346" s="327"/>
      <c r="E346" s="326"/>
    </row>
    <row r="347" spans="1:5">
      <c r="A347" s="326"/>
      <c r="B347" s="326"/>
      <c r="C347" s="326"/>
      <c r="D347" s="327"/>
      <c r="E347" s="326"/>
    </row>
    <row r="348" spans="1:5">
      <c r="A348" s="326"/>
      <c r="B348" s="326"/>
      <c r="C348" s="326"/>
      <c r="D348" s="327"/>
      <c r="E348" s="326"/>
    </row>
    <row r="349" spans="1:5">
      <c r="A349" s="326"/>
      <c r="B349" s="326"/>
      <c r="C349" s="326"/>
      <c r="D349" s="327"/>
      <c r="E349" s="326"/>
    </row>
    <row r="350" spans="1:5">
      <c r="A350" s="326"/>
      <c r="B350" s="326"/>
      <c r="C350" s="326"/>
      <c r="D350" s="327"/>
      <c r="E350" s="326"/>
    </row>
    <row r="351" spans="1:5">
      <c r="A351" s="326"/>
      <c r="B351" s="326"/>
      <c r="C351" s="326"/>
      <c r="D351" s="327"/>
      <c r="E351" s="326"/>
    </row>
    <row r="352" spans="1:5">
      <c r="A352" s="326"/>
      <c r="B352" s="326"/>
      <c r="C352" s="326"/>
      <c r="D352" s="327"/>
      <c r="E352" s="326"/>
    </row>
    <row r="353" spans="1:5">
      <c r="A353" s="326"/>
      <c r="B353" s="326"/>
      <c r="C353" s="326"/>
      <c r="D353" s="327"/>
      <c r="E353" s="326"/>
    </row>
    <row r="354" spans="1:5">
      <c r="A354" s="326"/>
      <c r="B354" s="326"/>
      <c r="C354" s="326"/>
      <c r="D354" s="327"/>
      <c r="E354" s="326"/>
    </row>
    <row r="355" spans="1:5">
      <c r="A355" s="326"/>
      <c r="B355" s="326"/>
      <c r="C355" s="326"/>
      <c r="D355" s="327"/>
      <c r="E355" s="326"/>
    </row>
    <row r="356" spans="1:5">
      <c r="A356" s="326"/>
      <c r="B356" s="326"/>
      <c r="C356" s="326"/>
      <c r="D356" s="327"/>
      <c r="E356" s="326"/>
    </row>
    <row r="357" spans="1:5">
      <c r="A357" s="326"/>
      <c r="B357" s="326"/>
      <c r="C357" s="326"/>
      <c r="D357" s="327"/>
      <c r="E357" s="326"/>
    </row>
    <row r="358" spans="1:5">
      <c r="A358" s="326"/>
      <c r="B358" s="326"/>
      <c r="C358" s="326"/>
      <c r="D358" s="327"/>
      <c r="E358" s="326"/>
    </row>
    <row r="359" spans="1:5">
      <c r="A359" s="326"/>
      <c r="B359" s="326"/>
      <c r="C359" s="326"/>
      <c r="D359" s="327"/>
      <c r="E359" s="326"/>
    </row>
    <row r="360" spans="1:5">
      <c r="A360" s="326"/>
      <c r="B360" s="326"/>
      <c r="C360" s="326"/>
      <c r="D360" s="327"/>
      <c r="E360" s="326"/>
    </row>
    <row r="361" spans="1:5">
      <c r="A361" s="326"/>
      <c r="B361" s="326"/>
      <c r="C361" s="326"/>
      <c r="D361" s="327"/>
      <c r="E361" s="326"/>
    </row>
    <row r="362" spans="1:5">
      <c r="A362" s="326"/>
      <c r="B362" s="326"/>
      <c r="C362" s="326"/>
      <c r="D362" s="327"/>
      <c r="E362" s="326"/>
    </row>
    <row r="363" spans="1:5">
      <c r="A363" s="326"/>
      <c r="B363" s="326"/>
      <c r="C363" s="326"/>
      <c r="D363" s="327"/>
      <c r="E363" s="326"/>
    </row>
    <row r="364" spans="1:5">
      <c r="A364" s="326"/>
      <c r="B364" s="326"/>
      <c r="C364" s="326"/>
      <c r="D364" s="327"/>
      <c r="E364" s="326"/>
    </row>
    <row r="365" spans="1:5">
      <c r="A365" s="326"/>
      <c r="B365" s="326"/>
      <c r="C365" s="326"/>
      <c r="D365" s="327"/>
      <c r="E365" s="326"/>
    </row>
    <row r="366" spans="1:5">
      <c r="A366" s="326"/>
      <c r="B366" s="326"/>
      <c r="C366" s="326"/>
      <c r="D366" s="327"/>
      <c r="E366" s="326"/>
    </row>
    <row r="367" spans="1:5">
      <c r="A367" s="326"/>
      <c r="B367" s="326"/>
      <c r="C367" s="326"/>
      <c r="D367" s="327"/>
      <c r="E367" s="326"/>
    </row>
    <row r="368" spans="1:5">
      <c r="A368" s="326"/>
      <c r="B368" s="326"/>
      <c r="C368" s="326"/>
      <c r="D368" s="327"/>
      <c r="E368" s="326"/>
    </row>
    <row r="369" spans="1:5">
      <c r="A369" s="326"/>
      <c r="B369" s="326"/>
      <c r="C369" s="326"/>
      <c r="D369" s="327"/>
      <c r="E369" s="326"/>
    </row>
    <row r="370" spans="1:5">
      <c r="A370" s="326"/>
      <c r="B370" s="326"/>
      <c r="C370" s="326"/>
      <c r="D370" s="327"/>
      <c r="E370" s="326"/>
    </row>
    <row r="371" spans="1:5">
      <c r="A371" s="326"/>
      <c r="B371" s="326"/>
      <c r="C371" s="326"/>
      <c r="D371" s="327"/>
      <c r="E371" s="326"/>
    </row>
    <row r="372" spans="1:5">
      <c r="A372" s="326"/>
      <c r="B372" s="326"/>
      <c r="C372" s="326"/>
      <c r="D372" s="327"/>
      <c r="E372" s="326"/>
    </row>
    <row r="373" spans="1:5">
      <c r="A373" s="326"/>
      <c r="B373" s="326"/>
      <c r="C373" s="326"/>
      <c r="D373" s="327"/>
      <c r="E373" s="326"/>
    </row>
    <row r="374" spans="1:5">
      <c r="A374" s="326"/>
      <c r="B374" s="326"/>
      <c r="C374" s="326"/>
      <c r="D374" s="327"/>
      <c r="E374" s="326"/>
    </row>
    <row r="375" spans="1:5">
      <c r="A375" s="326"/>
      <c r="B375" s="326"/>
      <c r="C375" s="326"/>
      <c r="D375" s="327"/>
      <c r="E375" s="326"/>
    </row>
    <row r="376" spans="1:5">
      <c r="A376" s="326"/>
      <c r="B376" s="326"/>
      <c r="C376" s="326"/>
      <c r="D376" s="327"/>
      <c r="E376" s="326"/>
    </row>
    <row r="377" spans="1:5">
      <c r="A377" s="326"/>
      <c r="B377" s="326"/>
      <c r="C377" s="326"/>
      <c r="D377" s="327"/>
      <c r="E377" s="326"/>
    </row>
    <row r="378" spans="1:5">
      <c r="A378" s="326"/>
      <c r="B378" s="326"/>
      <c r="C378" s="326"/>
      <c r="D378" s="327"/>
      <c r="E378" s="326"/>
    </row>
    <row r="379" spans="1:5">
      <c r="A379" s="326"/>
      <c r="B379" s="326"/>
      <c r="C379" s="326"/>
      <c r="D379" s="327"/>
      <c r="E379" s="326"/>
    </row>
    <row r="380" spans="1:5">
      <c r="A380" s="326"/>
      <c r="B380" s="326"/>
      <c r="C380" s="326"/>
      <c r="D380" s="327"/>
      <c r="E380" s="326"/>
    </row>
    <row r="381" spans="1:5">
      <c r="A381" s="326"/>
      <c r="B381" s="326"/>
      <c r="C381" s="326"/>
      <c r="D381" s="327"/>
      <c r="E381" s="326"/>
    </row>
    <row r="382" spans="1:5">
      <c r="A382" s="326"/>
      <c r="B382" s="326"/>
      <c r="C382" s="326"/>
      <c r="D382" s="327"/>
      <c r="E382" s="326"/>
    </row>
    <row r="383" spans="1:5">
      <c r="A383" s="326"/>
      <c r="B383" s="326"/>
      <c r="C383" s="326"/>
      <c r="D383" s="327"/>
      <c r="E383" s="326"/>
    </row>
    <row r="384" spans="1:5">
      <c r="A384" s="326"/>
      <c r="B384" s="326"/>
      <c r="C384" s="326"/>
      <c r="D384" s="327"/>
      <c r="E384" s="326"/>
    </row>
    <row r="385" spans="1:5">
      <c r="A385" s="326"/>
      <c r="B385" s="326"/>
      <c r="C385" s="326"/>
      <c r="D385" s="327"/>
      <c r="E385" s="326"/>
    </row>
    <row r="386" spans="1:5">
      <c r="A386" s="326"/>
      <c r="B386" s="326"/>
      <c r="C386" s="326"/>
      <c r="D386" s="327"/>
      <c r="E386" s="326"/>
    </row>
    <row r="387" spans="1:5">
      <c r="A387" s="326"/>
      <c r="B387" s="326"/>
      <c r="C387" s="326"/>
      <c r="D387" s="327"/>
      <c r="E387" s="326"/>
    </row>
    <row r="388" spans="1:5">
      <c r="A388" s="326"/>
      <c r="B388" s="326"/>
      <c r="C388" s="326"/>
      <c r="D388" s="327"/>
      <c r="E388" s="326"/>
    </row>
    <row r="389" spans="1:5">
      <c r="A389" s="326"/>
      <c r="B389" s="326"/>
      <c r="C389" s="326"/>
      <c r="D389" s="327"/>
      <c r="E389" s="326"/>
    </row>
    <row r="390" spans="1:5">
      <c r="A390" s="326"/>
      <c r="B390" s="326"/>
      <c r="C390" s="326"/>
      <c r="D390" s="327"/>
      <c r="E390" s="326"/>
    </row>
    <row r="391" spans="1:5">
      <c r="A391" s="326"/>
      <c r="B391" s="326"/>
      <c r="C391" s="326"/>
      <c r="D391" s="327"/>
      <c r="E391" s="326"/>
    </row>
    <row r="392" spans="1:5">
      <c r="A392" s="326"/>
      <c r="B392" s="326"/>
      <c r="C392" s="326"/>
      <c r="D392" s="327"/>
      <c r="E392" s="326"/>
    </row>
    <row r="393" spans="1:5">
      <c r="A393" s="326"/>
      <c r="B393" s="326"/>
      <c r="C393" s="326"/>
      <c r="D393" s="327"/>
      <c r="E393" s="326"/>
    </row>
    <row r="394" spans="1:5">
      <c r="A394" s="326"/>
      <c r="B394" s="326"/>
      <c r="C394" s="326"/>
      <c r="D394" s="327"/>
      <c r="E394" s="326"/>
    </row>
    <row r="395" spans="1:5">
      <c r="A395" s="326"/>
      <c r="B395" s="326"/>
      <c r="C395" s="326"/>
      <c r="D395" s="327"/>
      <c r="E395" s="326"/>
    </row>
    <row r="396" spans="1:5">
      <c r="A396" s="326"/>
      <c r="B396" s="326"/>
      <c r="C396" s="326"/>
      <c r="D396" s="327"/>
      <c r="E396" s="326"/>
    </row>
    <row r="397" spans="1:5">
      <c r="A397" s="326"/>
      <c r="B397" s="326"/>
      <c r="C397" s="326"/>
      <c r="D397" s="327"/>
      <c r="E397" s="326"/>
    </row>
    <row r="398" spans="1:5">
      <c r="A398" s="326"/>
      <c r="B398" s="326"/>
      <c r="C398" s="326"/>
      <c r="D398" s="327"/>
      <c r="E398" s="326"/>
    </row>
    <row r="399" spans="1:5">
      <c r="A399" s="326"/>
      <c r="B399" s="326"/>
      <c r="C399" s="326"/>
      <c r="D399" s="327"/>
      <c r="E399" s="326"/>
    </row>
    <row r="400" spans="1:5">
      <c r="A400" s="326"/>
      <c r="B400" s="326"/>
      <c r="C400" s="326"/>
      <c r="D400" s="327"/>
      <c r="E400" s="326"/>
    </row>
    <row r="401" spans="1:5">
      <c r="A401" s="326"/>
      <c r="B401" s="326"/>
      <c r="C401" s="326"/>
      <c r="D401" s="327"/>
      <c r="E401" s="326"/>
    </row>
    <row r="402" spans="1:5">
      <c r="A402" s="326"/>
      <c r="B402" s="326"/>
      <c r="C402" s="326"/>
      <c r="D402" s="327"/>
      <c r="E402" s="326"/>
    </row>
    <row r="403" spans="1:5">
      <c r="A403" s="326"/>
      <c r="B403" s="326"/>
      <c r="C403" s="326"/>
      <c r="D403" s="327"/>
      <c r="E403" s="326"/>
    </row>
    <row r="404" spans="1:5">
      <c r="A404" s="326"/>
      <c r="B404" s="326"/>
      <c r="C404" s="326"/>
      <c r="D404" s="327"/>
      <c r="E404" s="326"/>
    </row>
    <row r="405" spans="1:5">
      <c r="A405" s="326"/>
      <c r="B405" s="326"/>
      <c r="C405" s="326"/>
      <c r="D405" s="327"/>
      <c r="E405" s="326"/>
    </row>
    <row r="406" spans="1:5">
      <c r="A406" s="326"/>
      <c r="B406" s="326"/>
      <c r="C406" s="326"/>
      <c r="D406" s="327"/>
      <c r="E406" s="326"/>
    </row>
    <row r="407" spans="1:5">
      <c r="A407" s="326"/>
      <c r="B407" s="326"/>
      <c r="C407" s="326"/>
      <c r="D407" s="327"/>
      <c r="E407" s="326"/>
    </row>
    <row r="408" spans="1:5">
      <c r="A408" s="326"/>
      <c r="B408" s="326"/>
      <c r="C408" s="326"/>
      <c r="D408" s="327"/>
      <c r="E408" s="326"/>
    </row>
    <row r="409" spans="1:5">
      <c r="A409" s="326"/>
      <c r="B409" s="326"/>
      <c r="C409" s="326"/>
      <c r="D409" s="327"/>
      <c r="E409" s="326"/>
    </row>
    <row r="410" spans="1:5">
      <c r="A410" s="326"/>
      <c r="B410" s="326"/>
      <c r="C410" s="326"/>
      <c r="D410" s="327"/>
      <c r="E410" s="326"/>
    </row>
    <row r="411" spans="1:5">
      <c r="A411" s="326"/>
      <c r="B411" s="326"/>
      <c r="C411" s="326"/>
      <c r="D411" s="327"/>
      <c r="E411" s="326"/>
    </row>
    <row r="412" spans="1:5">
      <c r="A412" s="326"/>
      <c r="B412" s="326"/>
      <c r="C412" s="326"/>
      <c r="D412" s="327"/>
      <c r="E412" s="326"/>
    </row>
    <row r="413" spans="1:5">
      <c r="A413" s="326"/>
      <c r="B413" s="326"/>
      <c r="C413" s="326"/>
      <c r="D413" s="327"/>
      <c r="E413" s="326"/>
    </row>
    <row r="414" spans="1:5">
      <c r="A414" s="326"/>
      <c r="B414" s="326"/>
      <c r="C414" s="326"/>
      <c r="D414" s="327"/>
      <c r="E414" s="326"/>
    </row>
    <row r="415" spans="1:5">
      <c r="A415" s="326"/>
      <c r="B415" s="326"/>
      <c r="C415" s="326"/>
      <c r="D415" s="327"/>
      <c r="E415" s="326"/>
    </row>
    <row r="416" spans="1:5">
      <c r="A416" s="326"/>
      <c r="B416" s="326"/>
      <c r="C416" s="326"/>
      <c r="D416" s="327"/>
      <c r="E416" s="326"/>
    </row>
    <row r="417" spans="1:5">
      <c r="A417" s="326"/>
      <c r="B417" s="326"/>
      <c r="C417" s="326"/>
      <c r="D417" s="327"/>
      <c r="E417" s="326"/>
    </row>
    <row r="418" spans="1:5">
      <c r="A418" s="326"/>
      <c r="B418" s="326"/>
      <c r="C418" s="326"/>
      <c r="D418" s="327"/>
      <c r="E418" s="326"/>
    </row>
    <row r="419" spans="1:5">
      <c r="A419" s="326"/>
      <c r="B419" s="326"/>
      <c r="C419" s="326"/>
      <c r="D419" s="327"/>
      <c r="E419" s="326"/>
    </row>
    <row r="420" spans="1:5">
      <c r="A420" s="326"/>
      <c r="B420" s="326"/>
      <c r="C420" s="326"/>
      <c r="D420" s="327"/>
      <c r="E420" s="326"/>
    </row>
    <row r="421" spans="1:5">
      <c r="A421" s="326"/>
      <c r="B421" s="326"/>
      <c r="C421" s="326"/>
      <c r="D421" s="327"/>
      <c r="E421" s="326"/>
    </row>
    <row r="422" spans="1:5">
      <c r="A422" s="326"/>
      <c r="B422" s="326"/>
      <c r="C422" s="326"/>
      <c r="D422" s="327"/>
      <c r="E422" s="326"/>
    </row>
    <row r="423" spans="1:5">
      <c r="A423" s="326"/>
      <c r="B423" s="326"/>
      <c r="C423" s="326"/>
      <c r="D423" s="327"/>
      <c r="E423" s="326"/>
    </row>
    <row r="424" spans="1:5">
      <c r="A424" s="326"/>
      <c r="B424" s="326"/>
      <c r="C424" s="326"/>
      <c r="D424" s="327"/>
      <c r="E424" s="326"/>
    </row>
    <row r="425" spans="1:5">
      <c r="A425" s="326"/>
      <c r="B425" s="326"/>
      <c r="C425" s="326"/>
      <c r="D425" s="327"/>
      <c r="E425" s="326"/>
    </row>
    <row r="426" spans="1:5">
      <c r="A426" s="326"/>
      <c r="B426" s="326"/>
      <c r="C426" s="326"/>
      <c r="D426" s="327"/>
      <c r="E426" s="326"/>
    </row>
    <row r="427" spans="1:5">
      <c r="A427" s="326"/>
      <c r="B427" s="326"/>
      <c r="C427" s="326"/>
      <c r="D427" s="327"/>
      <c r="E427" s="326"/>
    </row>
    <row r="428" spans="1:5">
      <c r="A428" s="326"/>
      <c r="B428" s="326"/>
      <c r="C428" s="326"/>
      <c r="D428" s="327"/>
      <c r="E428" s="326"/>
    </row>
    <row r="429" spans="1:5">
      <c r="A429" s="326"/>
      <c r="B429" s="326"/>
      <c r="C429" s="326"/>
      <c r="D429" s="327"/>
      <c r="E429" s="326"/>
    </row>
    <row r="430" spans="1:5">
      <c r="A430" s="326"/>
      <c r="B430" s="326"/>
      <c r="C430" s="326"/>
      <c r="D430" s="327"/>
      <c r="E430" s="326"/>
    </row>
    <row r="431" spans="1:5">
      <c r="A431" s="326"/>
      <c r="B431" s="326"/>
      <c r="C431" s="326"/>
      <c r="D431" s="327"/>
      <c r="E431" s="326"/>
    </row>
    <row r="432" spans="1:5">
      <c r="A432" s="326"/>
      <c r="B432" s="326"/>
      <c r="C432" s="326"/>
      <c r="D432" s="327"/>
      <c r="E432" s="326"/>
    </row>
    <row r="433" spans="1:5">
      <c r="A433" s="326"/>
      <c r="B433" s="326"/>
      <c r="C433" s="326"/>
      <c r="D433" s="327"/>
      <c r="E433" s="326"/>
    </row>
    <row r="434" spans="1:5">
      <c r="A434" s="326"/>
      <c r="B434" s="326"/>
      <c r="C434" s="326"/>
      <c r="D434" s="327"/>
      <c r="E434" s="326"/>
    </row>
    <row r="435" spans="1:5">
      <c r="A435" s="326"/>
      <c r="B435" s="326"/>
      <c r="C435" s="326"/>
      <c r="D435" s="327"/>
      <c r="E435" s="326"/>
    </row>
    <row r="436" spans="1:5">
      <c r="A436" s="326"/>
      <c r="B436" s="326"/>
      <c r="C436" s="326"/>
      <c r="D436" s="327"/>
      <c r="E436" s="326"/>
    </row>
    <row r="437" spans="1:5">
      <c r="A437" s="326"/>
      <c r="B437" s="326"/>
      <c r="C437" s="326"/>
      <c r="D437" s="327"/>
      <c r="E437" s="326"/>
    </row>
    <row r="438" spans="1:5">
      <c r="A438" s="326"/>
      <c r="B438" s="326"/>
      <c r="C438" s="326"/>
      <c r="D438" s="327"/>
      <c r="E438" s="326"/>
    </row>
    <row r="439" spans="1:5">
      <c r="A439" s="326"/>
      <c r="B439" s="326"/>
      <c r="C439" s="326"/>
      <c r="D439" s="327"/>
      <c r="E439" s="326"/>
    </row>
    <row r="440" spans="1:5">
      <c r="A440" s="326"/>
      <c r="B440" s="326"/>
      <c r="C440" s="326"/>
      <c r="D440" s="327"/>
      <c r="E440" s="326"/>
    </row>
    <row r="441" spans="1:5">
      <c r="A441" s="326"/>
      <c r="B441" s="326"/>
      <c r="C441" s="326"/>
      <c r="D441" s="327"/>
      <c r="E441" s="326"/>
    </row>
    <row r="442" spans="1:5">
      <c r="A442" s="326"/>
      <c r="B442" s="326"/>
      <c r="C442" s="326"/>
      <c r="D442" s="327"/>
      <c r="E442" s="326"/>
    </row>
    <row r="443" spans="1:5">
      <c r="A443" s="326"/>
      <c r="B443" s="326"/>
      <c r="C443" s="326"/>
      <c r="D443" s="327"/>
      <c r="E443" s="326"/>
    </row>
    <row r="444" spans="1:5">
      <c r="A444" s="326"/>
      <c r="B444" s="326"/>
      <c r="C444" s="326"/>
      <c r="D444" s="327"/>
      <c r="E444" s="326"/>
    </row>
    <row r="445" spans="1:5">
      <c r="A445" s="326"/>
      <c r="B445" s="326"/>
      <c r="C445" s="326"/>
      <c r="D445" s="327"/>
      <c r="E445" s="326"/>
    </row>
    <row r="446" spans="1:5">
      <c r="A446" s="326"/>
      <c r="B446" s="326"/>
      <c r="C446" s="326"/>
      <c r="D446" s="327"/>
      <c r="E446" s="326"/>
    </row>
    <row r="447" spans="1:5">
      <c r="A447" s="326"/>
      <c r="B447" s="326"/>
      <c r="C447" s="326"/>
      <c r="D447" s="327"/>
      <c r="E447" s="326"/>
    </row>
    <row r="448" spans="1:5">
      <c r="A448" s="326"/>
      <c r="B448" s="326"/>
      <c r="C448" s="326"/>
      <c r="D448" s="327"/>
      <c r="E448" s="326"/>
    </row>
    <row r="449" spans="1:5">
      <c r="A449" s="326"/>
      <c r="B449" s="326"/>
      <c r="C449" s="326"/>
      <c r="D449" s="327"/>
      <c r="E449" s="326"/>
    </row>
    <row r="450" spans="1:5">
      <c r="A450" s="326"/>
      <c r="B450" s="326"/>
      <c r="C450" s="326"/>
      <c r="D450" s="327"/>
      <c r="E450" s="326"/>
    </row>
    <row r="451" spans="1:5">
      <c r="A451" s="326"/>
      <c r="B451" s="326"/>
      <c r="C451" s="326"/>
      <c r="D451" s="327"/>
      <c r="E451" s="326"/>
    </row>
    <row r="452" spans="1:5">
      <c r="A452" s="326"/>
      <c r="B452" s="326"/>
      <c r="C452" s="326"/>
      <c r="D452" s="327"/>
      <c r="E452" s="326"/>
    </row>
    <row r="453" spans="1:5">
      <c r="A453" s="326"/>
      <c r="B453" s="326"/>
      <c r="C453" s="326"/>
      <c r="D453" s="327"/>
      <c r="E453" s="326"/>
    </row>
    <row r="454" spans="1:5">
      <c r="A454" s="326"/>
      <c r="B454" s="326"/>
      <c r="C454" s="326"/>
      <c r="D454" s="327"/>
      <c r="E454" s="326"/>
    </row>
    <row r="455" spans="1:5">
      <c r="A455" s="326"/>
      <c r="B455" s="326"/>
      <c r="C455" s="326"/>
      <c r="D455" s="327"/>
      <c r="E455" s="326"/>
    </row>
    <row r="456" spans="1:5">
      <c r="A456" s="326"/>
      <c r="B456" s="326"/>
      <c r="C456" s="326"/>
      <c r="D456" s="327"/>
      <c r="E456" s="326"/>
    </row>
    <row r="457" spans="1:5">
      <c r="A457" s="326"/>
      <c r="B457" s="326"/>
      <c r="C457" s="326"/>
      <c r="D457" s="327"/>
      <c r="E457" s="326"/>
    </row>
    <row r="458" spans="1:5">
      <c r="A458" s="326"/>
      <c r="B458" s="326"/>
      <c r="C458" s="326"/>
      <c r="D458" s="327"/>
      <c r="E458" s="326"/>
    </row>
    <row r="459" spans="1:5">
      <c r="A459" s="326"/>
      <c r="B459" s="326"/>
      <c r="C459" s="326"/>
      <c r="D459" s="327"/>
      <c r="E459" s="326"/>
    </row>
    <row r="460" spans="1:5">
      <c r="A460" s="326"/>
      <c r="B460" s="326"/>
      <c r="C460" s="326"/>
      <c r="D460" s="327"/>
      <c r="E460" s="326"/>
    </row>
    <row r="461" spans="1:5">
      <c r="A461" s="326"/>
      <c r="B461" s="326"/>
      <c r="C461" s="326"/>
      <c r="D461" s="327"/>
      <c r="E461" s="326"/>
    </row>
    <row r="462" spans="1:5">
      <c r="A462" s="326"/>
      <c r="B462" s="326"/>
      <c r="C462" s="326"/>
      <c r="D462" s="327"/>
      <c r="E462" s="326"/>
    </row>
    <row r="463" spans="1:5">
      <c r="A463" s="326"/>
      <c r="B463" s="326"/>
      <c r="C463" s="326"/>
      <c r="D463" s="327"/>
      <c r="E463" s="326"/>
    </row>
    <row r="464" spans="1:5">
      <c r="A464" s="326"/>
      <c r="B464" s="326"/>
      <c r="C464" s="326"/>
      <c r="D464" s="327"/>
      <c r="E464" s="326"/>
    </row>
    <row r="465" spans="1:5">
      <c r="A465" s="326"/>
      <c r="B465" s="326"/>
      <c r="C465" s="326"/>
      <c r="D465" s="327"/>
      <c r="E465" s="326"/>
    </row>
    <row r="466" spans="1:5">
      <c r="A466" s="326"/>
      <c r="B466" s="326"/>
      <c r="C466" s="326"/>
      <c r="D466" s="327"/>
      <c r="E466" s="326"/>
    </row>
    <row r="467" spans="1:5">
      <c r="A467" s="326"/>
      <c r="B467" s="326"/>
      <c r="C467" s="326"/>
      <c r="D467" s="327"/>
      <c r="E467" s="326"/>
    </row>
    <row r="468" spans="1:5">
      <c r="A468" s="326"/>
      <c r="B468" s="326"/>
      <c r="C468" s="326"/>
      <c r="D468" s="327"/>
      <c r="E468" s="326"/>
    </row>
    <row r="469" spans="1:5">
      <c r="A469" s="326"/>
      <c r="B469" s="326"/>
      <c r="C469" s="326"/>
      <c r="D469" s="327"/>
      <c r="E469" s="326"/>
    </row>
    <row r="470" spans="1:5">
      <c r="A470" s="326"/>
      <c r="B470" s="326"/>
      <c r="C470" s="326"/>
      <c r="D470" s="327"/>
      <c r="E470" s="326"/>
    </row>
    <row r="471" spans="1:5">
      <c r="A471" s="326"/>
      <c r="B471" s="326"/>
      <c r="C471" s="326"/>
      <c r="D471" s="327"/>
      <c r="E471" s="326"/>
    </row>
    <row r="472" spans="1:5">
      <c r="A472" s="326"/>
      <c r="B472" s="326"/>
      <c r="C472" s="326"/>
      <c r="D472" s="327"/>
      <c r="E472" s="326"/>
    </row>
    <row r="473" spans="1:5">
      <c r="A473" s="326"/>
      <c r="B473" s="326"/>
      <c r="C473" s="326"/>
      <c r="D473" s="327"/>
      <c r="E473" s="326"/>
    </row>
    <row r="474" spans="1:5">
      <c r="A474" s="326"/>
      <c r="B474" s="326"/>
      <c r="C474" s="326"/>
      <c r="D474" s="327"/>
      <c r="E474" s="326"/>
    </row>
    <row r="475" spans="1:5">
      <c r="A475" s="326"/>
      <c r="B475" s="326"/>
      <c r="C475" s="326"/>
      <c r="D475" s="327"/>
      <c r="E475" s="326"/>
    </row>
    <row r="476" spans="1:5">
      <c r="A476" s="326"/>
      <c r="B476" s="326"/>
      <c r="C476" s="326"/>
      <c r="D476" s="327"/>
      <c r="E476" s="326"/>
    </row>
    <row r="477" spans="1:5">
      <c r="A477" s="326"/>
      <c r="B477" s="326"/>
      <c r="C477" s="326"/>
      <c r="D477" s="327"/>
      <c r="E477" s="326"/>
    </row>
    <row r="478" spans="1:5">
      <c r="A478" s="326"/>
      <c r="B478" s="326"/>
      <c r="C478" s="326"/>
      <c r="D478" s="327"/>
      <c r="E478" s="326"/>
    </row>
    <row r="479" spans="1:5">
      <c r="A479" s="326"/>
      <c r="B479" s="326"/>
      <c r="C479" s="326"/>
      <c r="D479" s="327"/>
      <c r="E479" s="326"/>
    </row>
    <row r="480" spans="1:5">
      <c r="A480" s="326"/>
      <c r="B480" s="326"/>
      <c r="C480" s="326"/>
      <c r="D480" s="327"/>
      <c r="E480" s="326"/>
    </row>
    <row r="481" spans="1:5">
      <c r="A481" s="326"/>
      <c r="B481" s="326"/>
      <c r="C481" s="326"/>
      <c r="D481" s="327"/>
      <c r="E481" s="326"/>
    </row>
    <row r="482" spans="1:5">
      <c r="A482" s="326"/>
      <c r="B482" s="326"/>
      <c r="C482" s="326"/>
      <c r="D482" s="327"/>
      <c r="E482" s="326"/>
    </row>
    <row r="483" spans="1:5">
      <c r="A483" s="326"/>
      <c r="B483" s="326"/>
      <c r="C483" s="326"/>
      <c r="D483" s="327"/>
      <c r="E483" s="326"/>
    </row>
    <row r="484" spans="1:5">
      <c r="A484" s="326"/>
      <c r="B484" s="326"/>
      <c r="C484" s="326"/>
      <c r="D484" s="327"/>
      <c r="E484" s="326"/>
    </row>
    <row r="485" spans="1:5">
      <c r="A485" s="326"/>
      <c r="B485" s="326"/>
      <c r="C485" s="326"/>
      <c r="D485" s="327"/>
      <c r="E485" s="326"/>
    </row>
    <row r="486" spans="1:5">
      <c r="A486" s="326"/>
      <c r="B486" s="326"/>
      <c r="C486" s="326"/>
      <c r="D486" s="327"/>
      <c r="E486" s="326"/>
    </row>
    <row r="487" spans="1:5">
      <c r="A487" s="326"/>
      <c r="B487" s="326"/>
      <c r="C487" s="326"/>
      <c r="D487" s="327"/>
      <c r="E487" s="326"/>
    </row>
    <row r="488" spans="1:5">
      <c r="A488" s="326"/>
      <c r="B488" s="326"/>
      <c r="C488" s="326"/>
      <c r="D488" s="327"/>
      <c r="E488" s="326"/>
    </row>
    <row r="489" spans="1:5">
      <c r="A489" s="326"/>
      <c r="B489" s="326"/>
      <c r="C489" s="326"/>
      <c r="D489" s="327"/>
      <c r="E489" s="326"/>
    </row>
    <row r="490" spans="1:5">
      <c r="A490" s="326"/>
      <c r="B490" s="326"/>
      <c r="C490" s="326"/>
      <c r="D490" s="327"/>
      <c r="E490" s="326"/>
    </row>
    <row r="491" spans="1:5">
      <c r="A491" s="326"/>
      <c r="B491" s="326"/>
      <c r="C491" s="326"/>
      <c r="D491" s="327"/>
      <c r="E491" s="326"/>
    </row>
    <row r="492" spans="1:5">
      <c r="A492" s="326"/>
      <c r="B492" s="326"/>
      <c r="C492" s="326"/>
      <c r="D492" s="327"/>
      <c r="E492" s="326"/>
    </row>
    <row r="493" spans="1:5">
      <c r="A493" s="326"/>
      <c r="B493" s="326"/>
      <c r="C493" s="326"/>
      <c r="D493" s="327"/>
      <c r="E493" s="326"/>
    </row>
    <row r="494" spans="1:5">
      <c r="A494" s="326"/>
      <c r="B494" s="326"/>
      <c r="C494" s="326"/>
      <c r="D494" s="327"/>
      <c r="E494" s="326"/>
    </row>
    <row r="495" spans="1:5">
      <c r="A495" s="326"/>
      <c r="B495" s="326"/>
      <c r="C495" s="326"/>
      <c r="D495" s="327"/>
      <c r="E495" s="326"/>
    </row>
    <row r="496" spans="1:5">
      <c r="A496" s="326"/>
      <c r="B496" s="326"/>
      <c r="C496" s="326"/>
      <c r="D496" s="327"/>
      <c r="E496" s="326"/>
    </row>
    <row r="497" spans="1:5">
      <c r="A497" s="326"/>
      <c r="B497" s="326"/>
      <c r="C497" s="326"/>
      <c r="D497" s="327"/>
      <c r="E497" s="326"/>
    </row>
    <row r="498" spans="1:5">
      <c r="A498" s="326"/>
      <c r="B498" s="326"/>
      <c r="C498" s="326"/>
      <c r="D498" s="327"/>
      <c r="E498" s="326"/>
    </row>
    <row r="499" spans="1:5">
      <c r="A499" s="326"/>
      <c r="B499" s="326"/>
      <c r="C499" s="326"/>
      <c r="D499" s="327"/>
      <c r="E499" s="326"/>
    </row>
    <row r="500" spans="1:5">
      <c r="A500" s="326"/>
      <c r="B500" s="326"/>
      <c r="C500" s="326"/>
      <c r="D500" s="327"/>
      <c r="E500" s="326"/>
    </row>
    <row r="501" spans="1:5">
      <c r="A501" s="326"/>
      <c r="B501" s="326"/>
      <c r="C501" s="326"/>
      <c r="D501" s="327"/>
      <c r="E501" s="326"/>
    </row>
    <row r="502" spans="1:5">
      <c r="A502" s="326"/>
      <c r="B502" s="326"/>
      <c r="C502" s="326"/>
      <c r="D502" s="327"/>
      <c r="E502" s="326"/>
    </row>
    <row r="503" spans="1:5">
      <c r="A503" s="326"/>
      <c r="B503" s="326"/>
      <c r="C503" s="326"/>
      <c r="D503" s="327"/>
      <c r="E503" s="326"/>
    </row>
    <row r="504" spans="1:5">
      <c r="A504" s="326"/>
      <c r="B504" s="326"/>
      <c r="C504" s="326"/>
      <c r="D504" s="327"/>
      <c r="E504" s="326"/>
    </row>
    <row r="505" spans="1:5">
      <c r="A505" s="326"/>
      <c r="B505" s="326"/>
      <c r="C505" s="326"/>
      <c r="D505" s="327"/>
      <c r="E505" s="326"/>
    </row>
    <row r="506" spans="1:5">
      <c r="A506" s="326"/>
      <c r="B506" s="326"/>
      <c r="C506" s="326"/>
      <c r="D506" s="327"/>
      <c r="E506" s="326"/>
    </row>
    <row r="507" spans="1:5">
      <c r="A507" s="326"/>
      <c r="B507" s="326"/>
      <c r="C507" s="326"/>
      <c r="D507" s="327"/>
      <c r="E507" s="326"/>
    </row>
    <row r="508" spans="1:5">
      <c r="A508" s="326"/>
      <c r="B508" s="326"/>
      <c r="C508" s="326"/>
      <c r="D508" s="327"/>
      <c r="E508" s="326"/>
    </row>
    <row r="509" spans="1:5">
      <c r="A509" s="326"/>
      <c r="B509" s="326"/>
      <c r="C509" s="326"/>
      <c r="D509" s="327"/>
      <c r="E509" s="326"/>
    </row>
    <row r="510" spans="1:5">
      <c r="A510" s="326"/>
      <c r="B510" s="326"/>
      <c r="C510" s="326"/>
      <c r="D510" s="327"/>
      <c r="E510" s="326"/>
    </row>
    <row r="511" spans="1:5">
      <c r="A511" s="326"/>
      <c r="B511" s="326"/>
      <c r="C511" s="326"/>
      <c r="D511" s="327"/>
      <c r="E511" s="326"/>
    </row>
    <row r="512" spans="1:5">
      <c r="A512" s="326"/>
      <c r="B512" s="326"/>
      <c r="C512" s="326"/>
      <c r="D512" s="327"/>
      <c r="E512" s="326"/>
    </row>
    <row r="513" spans="1:5">
      <c r="A513" s="326"/>
      <c r="B513" s="326"/>
      <c r="C513" s="326"/>
      <c r="D513" s="327"/>
      <c r="E513" s="326"/>
    </row>
    <row r="514" spans="1:5">
      <c r="A514" s="326"/>
      <c r="B514" s="326"/>
      <c r="C514" s="326"/>
      <c r="D514" s="327"/>
      <c r="E514" s="326"/>
    </row>
    <row r="515" spans="1:5">
      <c r="A515" s="326"/>
      <c r="B515" s="326"/>
      <c r="C515" s="326"/>
      <c r="D515" s="327"/>
      <c r="E515" s="326"/>
    </row>
    <row r="516" spans="1:5">
      <c r="A516" s="326"/>
      <c r="B516" s="326"/>
      <c r="C516" s="326"/>
      <c r="D516" s="327"/>
      <c r="E516" s="326"/>
    </row>
    <row r="517" spans="1:5">
      <c r="A517" s="326"/>
      <c r="B517" s="326"/>
      <c r="C517" s="326"/>
      <c r="D517" s="327"/>
      <c r="E517" s="326"/>
    </row>
    <row r="518" spans="1:5">
      <c r="A518" s="326"/>
      <c r="B518" s="326"/>
      <c r="C518" s="326"/>
      <c r="D518" s="327"/>
      <c r="E518" s="326"/>
    </row>
    <row r="519" spans="1:5">
      <c r="A519" s="326"/>
      <c r="B519" s="326"/>
      <c r="C519" s="326"/>
      <c r="D519" s="327"/>
      <c r="E519" s="326"/>
    </row>
    <row r="520" spans="1:5">
      <c r="A520" s="326"/>
      <c r="B520" s="326"/>
      <c r="C520" s="326"/>
      <c r="D520" s="327"/>
      <c r="E520" s="326"/>
    </row>
    <row r="521" spans="1:5">
      <c r="A521" s="326"/>
      <c r="B521" s="326"/>
      <c r="C521" s="326"/>
      <c r="D521" s="327"/>
      <c r="E521" s="326"/>
    </row>
    <row r="522" spans="1:5">
      <c r="A522" s="326"/>
      <c r="B522" s="326"/>
      <c r="C522" s="326"/>
      <c r="D522" s="327"/>
      <c r="E522" s="326"/>
    </row>
    <row r="523" spans="1:5">
      <c r="A523" s="326"/>
      <c r="B523" s="326"/>
      <c r="C523" s="326"/>
      <c r="D523" s="327"/>
      <c r="E523" s="326"/>
    </row>
    <row r="524" spans="1:5">
      <c r="A524" s="326"/>
      <c r="B524" s="326"/>
      <c r="C524" s="326"/>
      <c r="D524" s="327"/>
      <c r="E524" s="326"/>
    </row>
    <row r="525" spans="1:5">
      <c r="A525" s="326"/>
      <c r="B525" s="326"/>
      <c r="C525" s="326"/>
      <c r="D525" s="327"/>
      <c r="E525" s="326"/>
    </row>
    <row r="526" spans="1:5">
      <c r="A526" s="326"/>
      <c r="B526" s="326"/>
      <c r="C526" s="326"/>
      <c r="D526" s="327"/>
      <c r="E526" s="326"/>
    </row>
    <row r="527" spans="1:5">
      <c r="A527" s="326"/>
      <c r="B527" s="326"/>
      <c r="C527" s="326"/>
      <c r="D527" s="327"/>
      <c r="E527" s="326"/>
    </row>
    <row r="528" spans="1:5">
      <c r="A528" s="326"/>
      <c r="B528" s="326"/>
      <c r="C528" s="326"/>
      <c r="D528" s="327"/>
      <c r="E528" s="326"/>
    </row>
    <row r="529" spans="1:5">
      <c r="A529" s="326"/>
      <c r="B529" s="326"/>
      <c r="C529" s="326"/>
      <c r="D529" s="327"/>
      <c r="E529" s="326"/>
    </row>
    <row r="530" spans="1:5">
      <c r="A530" s="326"/>
      <c r="B530" s="326"/>
      <c r="C530" s="326"/>
      <c r="D530" s="327"/>
      <c r="E530" s="326"/>
    </row>
    <row r="531" spans="1:5">
      <c r="A531" s="326"/>
      <c r="B531" s="326"/>
      <c r="C531" s="326"/>
      <c r="D531" s="327"/>
      <c r="E531" s="326"/>
    </row>
    <row r="532" spans="1:5">
      <c r="A532" s="326"/>
      <c r="B532" s="326"/>
      <c r="C532" s="326"/>
      <c r="D532" s="327"/>
      <c r="E532" s="326"/>
    </row>
    <row r="533" spans="1:5">
      <c r="A533" s="326"/>
      <c r="B533" s="326"/>
      <c r="C533" s="326"/>
      <c r="D533" s="327"/>
      <c r="E533" s="326"/>
    </row>
    <row r="534" spans="1:5">
      <c r="A534" s="326"/>
      <c r="B534" s="326"/>
      <c r="C534" s="326"/>
      <c r="D534" s="327"/>
      <c r="E534" s="326"/>
    </row>
    <row r="535" spans="1:5">
      <c r="A535" s="326"/>
      <c r="B535" s="326"/>
      <c r="C535" s="326"/>
      <c r="D535" s="327"/>
      <c r="E535" s="326"/>
    </row>
    <row r="536" spans="1:5">
      <c r="A536" s="326"/>
      <c r="B536" s="326"/>
      <c r="C536" s="326"/>
      <c r="D536" s="327"/>
      <c r="E536" s="326"/>
    </row>
    <row r="537" spans="1:5">
      <c r="A537" s="326"/>
      <c r="B537" s="326"/>
      <c r="C537" s="326"/>
      <c r="D537" s="327"/>
      <c r="E537" s="326"/>
    </row>
    <row r="538" spans="1:5">
      <c r="A538" s="326"/>
      <c r="B538" s="326"/>
      <c r="C538" s="326"/>
      <c r="D538" s="327"/>
      <c r="E538" s="326"/>
    </row>
    <row r="539" spans="1:5">
      <c r="A539" s="326"/>
      <c r="B539" s="326"/>
      <c r="C539" s="326"/>
      <c r="D539" s="327"/>
      <c r="E539" s="326"/>
    </row>
    <row r="540" spans="1:5">
      <c r="A540" s="326"/>
      <c r="B540" s="326"/>
      <c r="C540" s="326"/>
      <c r="D540" s="327"/>
      <c r="E540" s="326"/>
    </row>
    <row r="541" spans="1:5">
      <c r="A541" s="326"/>
      <c r="B541" s="326"/>
      <c r="C541" s="326"/>
      <c r="D541" s="327"/>
      <c r="E541" s="326"/>
    </row>
    <row r="542" spans="1:5">
      <c r="A542" s="326"/>
      <c r="B542" s="326"/>
      <c r="C542" s="326"/>
      <c r="D542" s="327"/>
      <c r="E542" s="326"/>
    </row>
    <row r="543" spans="1:5">
      <c r="A543" s="326"/>
      <c r="B543" s="326"/>
      <c r="C543" s="326"/>
      <c r="D543" s="327"/>
      <c r="E543" s="326"/>
    </row>
    <row r="544" spans="1:5">
      <c r="A544" s="326"/>
      <c r="B544" s="326"/>
      <c r="C544" s="326"/>
      <c r="D544" s="327"/>
      <c r="E544" s="326"/>
    </row>
    <row r="545" spans="1:5">
      <c r="A545" s="326"/>
      <c r="B545" s="326"/>
      <c r="C545" s="326"/>
      <c r="D545" s="327"/>
      <c r="E545" s="326"/>
    </row>
    <row r="546" spans="1:5">
      <c r="A546" s="326"/>
      <c r="B546" s="326"/>
      <c r="C546" s="326"/>
      <c r="D546" s="327"/>
      <c r="E546" s="326"/>
    </row>
    <row r="547" spans="1:5">
      <c r="A547" s="326"/>
      <c r="B547" s="326"/>
      <c r="C547" s="326"/>
      <c r="D547" s="327"/>
      <c r="E547" s="326"/>
    </row>
    <row r="548" spans="1:5">
      <c r="A548" s="326"/>
      <c r="B548" s="326"/>
      <c r="C548" s="326"/>
      <c r="D548" s="327"/>
      <c r="E548" s="326"/>
    </row>
    <row r="549" spans="1:5">
      <c r="A549" s="326"/>
      <c r="B549" s="326"/>
      <c r="C549" s="326"/>
      <c r="D549" s="327"/>
      <c r="E549" s="326"/>
    </row>
    <row r="550" spans="1:5">
      <c r="A550" s="326"/>
      <c r="B550" s="326"/>
      <c r="C550" s="326"/>
      <c r="D550" s="327"/>
      <c r="E550" s="326"/>
    </row>
    <row r="551" spans="1:5">
      <c r="A551" s="326"/>
      <c r="B551" s="326"/>
      <c r="C551" s="326"/>
      <c r="D551" s="327"/>
      <c r="E551" s="326"/>
    </row>
    <row r="552" spans="1:5">
      <c r="A552" s="326"/>
      <c r="B552" s="326"/>
      <c r="C552" s="326"/>
      <c r="D552" s="327"/>
      <c r="E552" s="326"/>
    </row>
    <row r="553" spans="1:5">
      <c r="A553" s="326"/>
      <c r="B553" s="326"/>
      <c r="C553" s="326"/>
      <c r="D553" s="327"/>
      <c r="E553" s="326"/>
    </row>
    <row r="554" spans="1:5">
      <c r="A554" s="326"/>
      <c r="B554" s="326"/>
      <c r="C554" s="326"/>
      <c r="D554" s="327"/>
      <c r="E554" s="326"/>
    </row>
    <row r="555" spans="1:5">
      <c r="A555" s="326"/>
      <c r="B555" s="326"/>
      <c r="C555" s="326"/>
      <c r="D555" s="327"/>
      <c r="E555" s="326"/>
    </row>
    <row r="556" spans="1:5">
      <c r="A556" s="326"/>
      <c r="B556" s="326"/>
      <c r="C556" s="326"/>
      <c r="D556" s="327"/>
      <c r="E556" s="326"/>
    </row>
    <row r="557" spans="1:5">
      <c r="A557" s="326"/>
      <c r="B557" s="326"/>
      <c r="C557" s="326"/>
      <c r="D557" s="327"/>
      <c r="E557" s="326"/>
    </row>
    <row r="558" spans="1:5">
      <c r="A558" s="326"/>
      <c r="B558" s="326"/>
      <c r="C558" s="326"/>
      <c r="D558" s="327"/>
      <c r="E558" s="326"/>
    </row>
    <row r="559" spans="1:5">
      <c r="A559" s="326"/>
      <c r="B559" s="326"/>
      <c r="C559" s="326"/>
      <c r="D559" s="327"/>
      <c r="E559" s="326"/>
    </row>
    <row r="560" spans="1:5">
      <c r="A560" s="326"/>
      <c r="B560" s="326"/>
      <c r="C560" s="326"/>
      <c r="D560" s="327"/>
      <c r="E560" s="326"/>
    </row>
    <row r="561" spans="1:5">
      <c r="A561" s="326"/>
      <c r="B561" s="326"/>
      <c r="C561" s="326"/>
      <c r="D561" s="327"/>
      <c r="E561" s="326"/>
    </row>
    <row r="562" spans="1:5">
      <c r="A562" s="326"/>
      <c r="B562" s="326"/>
      <c r="C562" s="326"/>
      <c r="D562" s="327"/>
      <c r="E562" s="326"/>
    </row>
    <row r="563" spans="1:5">
      <c r="A563" s="326"/>
      <c r="B563" s="326"/>
      <c r="C563" s="326"/>
      <c r="D563" s="327"/>
      <c r="E563" s="326"/>
    </row>
    <row r="564" spans="1:5">
      <c r="A564" s="326"/>
      <c r="B564" s="326"/>
      <c r="C564" s="326"/>
      <c r="D564" s="327"/>
      <c r="E564" s="326"/>
    </row>
    <row r="565" spans="1:5">
      <c r="A565" s="326"/>
      <c r="B565" s="326"/>
      <c r="C565" s="326"/>
      <c r="D565" s="327"/>
      <c r="E565" s="326"/>
    </row>
    <row r="566" spans="1:5">
      <c r="A566" s="326"/>
      <c r="B566" s="326"/>
      <c r="C566" s="326"/>
      <c r="D566" s="327"/>
      <c r="E566" s="326"/>
    </row>
    <row r="567" spans="1:5">
      <c r="A567" s="326"/>
      <c r="B567" s="326"/>
      <c r="C567" s="326"/>
      <c r="D567" s="327"/>
      <c r="E567" s="326"/>
    </row>
    <row r="568" spans="1:5">
      <c r="A568" s="326"/>
      <c r="B568" s="326"/>
      <c r="C568" s="326"/>
      <c r="D568" s="327"/>
      <c r="E568" s="326"/>
    </row>
    <row r="569" spans="1:5">
      <c r="A569" s="326"/>
      <c r="B569" s="326"/>
      <c r="C569" s="326"/>
      <c r="D569" s="327"/>
      <c r="E569" s="326"/>
    </row>
    <row r="570" spans="1:5">
      <c r="A570" s="326"/>
      <c r="B570" s="326"/>
      <c r="C570" s="326"/>
      <c r="D570" s="327"/>
      <c r="E570" s="326"/>
    </row>
    <row r="571" spans="1:5">
      <c r="A571" s="326"/>
      <c r="B571" s="326"/>
      <c r="C571" s="326"/>
      <c r="D571" s="327"/>
      <c r="E571" s="326"/>
    </row>
    <row r="572" spans="1:5">
      <c r="A572" s="326"/>
      <c r="B572" s="326"/>
      <c r="C572" s="326"/>
      <c r="D572" s="327"/>
      <c r="E572" s="326"/>
    </row>
    <row r="573" spans="1:5">
      <c r="A573" s="326"/>
      <c r="B573" s="326"/>
      <c r="C573" s="326"/>
      <c r="D573" s="327"/>
      <c r="E573" s="326"/>
    </row>
    <row r="574" spans="1:5">
      <c r="A574" s="326"/>
      <c r="B574" s="326"/>
      <c r="C574" s="326"/>
      <c r="D574" s="327"/>
      <c r="E574" s="326"/>
    </row>
    <row r="575" spans="1:5">
      <c r="A575" s="326"/>
      <c r="B575" s="326"/>
      <c r="C575" s="326"/>
      <c r="D575" s="327"/>
      <c r="E575" s="326"/>
    </row>
    <row r="576" spans="1:5">
      <c r="A576" s="326"/>
      <c r="B576" s="326"/>
      <c r="C576" s="326"/>
      <c r="D576" s="327"/>
      <c r="E576" s="326"/>
    </row>
    <row r="577" spans="1:5">
      <c r="A577" s="326"/>
      <c r="B577" s="326"/>
      <c r="C577" s="326"/>
      <c r="D577" s="327"/>
      <c r="E577" s="326"/>
    </row>
    <row r="578" spans="1:5">
      <c r="A578" s="326"/>
      <c r="B578" s="326"/>
      <c r="C578" s="326"/>
      <c r="D578" s="327"/>
      <c r="E578" s="326"/>
    </row>
    <row r="579" spans="1:5">
      <c r="A579" s="326"/>
      <c r="B579" s="326"/>
      <c r="C579" s="326"/>
      <c r="D579" s="327"/>
      <c r="E579" s="326"/>
    </row>
    <row r="580" spans="1:5">
      <c r="A580" s="326"/>
      <c r="B580" s="326"/>
      <c r="C580" s="326"/>
      <c r="D580" s="327"/>
      <c r="E580" s="326"/>
    </row>
    <row r="581" spans="1:5">
      <c r="A581" s="326"/>
      <c r="B581" s="326"/>
      <c r="C581" s="326"/>
      <c r="D581" s="327"/>
      <c r="E581" s="326"/>
    </row>
    <row r="582" spans="1:5">
      <c r="A582" s="326"/>
      <c r="B582" s="326"/>
      <c r="C582" s="326"/>
      <c r="D582" s="327"/>
      <c r="E582" s="326"/>
    </row>
    <row r="583" spans="1:5">
      <c r="A583" s="326"/>
      <c r="B583" s="326"/>
      <c r="C583" s="326"/>
      <c r="D583" s="327"/>
      <c r="E583" s="326"/>
    </row>
    <row r="584" spans="1:5">
      <c r="A584" s="326"/>
      <c r="B584" s="326"/>
      <c r="C584" s="326"/>
      <c r="D584" s="327"/>
      <c r="E584" s="326"/>
    </row>
    <row r="585" spans="1:5">
      <c r="A585" s="326"/>
      <c r="B585" s="326"/>
      <c r="C585" s="326"/>
      <c r="D585" s="327"/>
      <c r="E585" s="326"/>
    </row>
    <row r="586" spans="1:5">
      <c r="A586" s="326"/>
      <c r="B586" s="326"/>
      <c r="C586" s="326"/>
      <c r="D586" s="327"/>
      <c r="E586" s="326"/>
    </row>
    <row r="587" spans="1:5">
      <c r="A587" s="326"/>
      <c r="B587" s="326"/>
      <c r="C587" s="326"/>
      <c r="D587" s="327"/>
      <c r="E587" s="326"/>
    </row>
    <row r="588" spans="1:5">
      <c r="A588" s="326"/>
      <c r="B588" s="326"/>
      <c r="C588" s="326"/>
      <c r="D588" s="327"/>
      <c r="E588" s="326"/>
    </row>
    <row r="589" spans="1:5">
      <c r="A589" s="326"/>
      <c r="B589" s="326"/>
      <c r="C589" s="326"/>
      <c r="D589" s="327"/>
      <c r="E589" s="326"/>
    </row>
    <row r="590" spans="1:5">
      <c r="A590" s="326"/>
      <c r="B590" s="326"/>
      <c r="C590" s="326"/>
      <c r="D590" s="327"/>
      <c r="E590" s="326"/>
    </row>
    <row r="591" spans="1:5">
      <c r="A591" s="326"/>
      <c r="B591" s="326"/>
      <c r="C591" s="326"/>
      <c r="D591" s="327"/>
      <c r="E591" s="326"/>
    </row>
    <row r="592" spans="1:5">
      <c r="A592" s="326"/>
      <c r="B592" s="326"/>
      <c r="C592" s="326"/>
      <c r="D592" s="327"/>
      <c r="E592" s="326"/>
    </row>
    <row r="593" spans="1:5">
      <c r="A593" s="326"/>
      <c r="B593" s="326"/>
      <c r="C593" s="326"/>
      <c r="D593" s="327"/>
      <c r="E593" s="326"/>
    </row>
    <row r="594" spans="1:5">
      <c r="A594" s="326"/>
      <c r="B594" s="326"/>
      <c r="C594" s="326"/>
      <c r="D594" s="327"/>
      <c r="E594" s="326"/>
    </row>
    <row r="595" spans="1:5">
      <c r="A595" s="326"/>
      <c r="B595" s="326"/>
      <c r="C595" s="326"/>
      <c r="D595" s="327"/>
      <c r="E595" s="326"/>
    </row>
    <row r="596" spans="1:5">
      <c r="A596" s="326"/>
      <c r="B596" s="326"/>
      <c r="C596" s="326"/>
      <c r="D596" s="327"/>
      <c r="E596" s="326"/>
    </row>
    <row r="597" spans="1:5">
      <c r="A597" s="326"/>
      <c r="B597" s="326"/>
      <c r="C597" s="326"/>
      <c r="D597" s="327"/>
      <c r="E597" s="326"/>
    </row>
    <row r="598" spans="1:5">
      <c r="A598" s="326"/>
      <c r="B598" s="326"/>
      <c r="C598" s="326"/>
      <c r="D598" s="327"/>
      <c r="E598" s="326"/>
    </row>
    <row r="599" spans="1:5">
      <c r="A599" s="326"/>
      <c r="B599" s="326"/>
      <c r="C599" s="326"/>
      <c r="D599" s="327"/>
      <c r="E599" s="326"/>
    </row>
    <row r="600" spans="1:5">
      <c r="A600" s="326"/>
      <c r="B600" s="326"/>
      <c r="C600" s="326"/>
      <c r="D600" s="327"/>
      <c r="E600" s="326"/>
    </row>
    <row r="601" spans="1:5">
      <c r="A601" s="326"/>
      <c r="B601" s="326"/>
      <c r="C601" s="326"/>
      <c r="D601" s="327"/>
      <c r="E601" s="326"/>
    </row>
    <row r="602" spans="1:5">
      <c r="A602" s="326"/>
      <c r="B602" s="326"/>
      <c r="C602" s="326"/>
      <c r="D602" s="327"/>
      <c r="E602" s="326"/>
    </row>
    <row r="603" spans="1:5">
      <c r="A603" s="326"/>
      <c r="B603" s="326"/>
      <c r="C603" s="326"/>
      <c r="D603" s="327"/>
      <c r="E603" s="326"/>
    </row>
    <row r="604" spans="1:5">
      <c r="A604" s="326"/>
      <c r="B604" s="326"/>
      <c r="C604" s="326"/>
      <c r="D604" s="327"/>
      <c r="E604" s="326"/>
    </row>
    <row r="605" spans="1:5">
      <c r="A605" s="326"/>
      <c r="B605" s="326"/>
      <c r="C605" s="326"/>
      <c r="D605" s="327"/>
      <c r="E605" s="326"/>
    </row>
    <row r="606" spans="1:5">
      <c r="A606" s="326"/>
      <c r="B606" s="326"/>
      <c r="C606" s="326"/>
      <c r="D606" s="327"/>
      <c r="E606" s="326"/>
    </row>
    <row r="607" spans="1:5">
      <c r="A607" s="326"/>
      <c r="B607" s="326"/>
      <c r="C607" s="326"/>
      <c r="D607" s="327"/>
      <c r="E607" s="326"/>
    </row>
    <row r="608" spans="1:5">
      <c r="A608" s="326"/>
      <c r="B608" s="326"/>
      <c r="C608" s="326"/>
      <c r="D608" s="327"/>
      <c r="E608" s="326"/>
    </row>
    <row r="609" spans="1:5">
      <c r="A609" s="326"/>
      <c r="B609" s="326"/>
      <c r="C609" s="326"/>
      <c r="D609" s="327"/>
      <c r="E609" s="326"/>
    </row>
    <row r="610" spans="1:5">
      <c r="A610" s="326"/>
      <c r="B610" s="326"/>
      <c r="C610" s="326"/>
      <c r="D610" s="327"/>
      <c r="E610" s="326"/>
    </row>
    <row r="611" spans="1:5">
      <c r="A611" s="326"/>
      <c r="B611" s="326"/>
      <c r="C611" s="326"/>
      <c r="D611" s="327"/>
      <c r="E611" s="326"/>
    </row>
    <row r="612" spans="1:5">
      <c r="A612" s="326"/>
      <c r="B612" s="326"/>
      <c r="C612" s="326"/>
      <c r="D612" s="327"/>
      <c r="E612" s="326"/>
    </row>
    <row r="613" spans="1:5">
      <c r="A613" s="326"/>
      <c r="B613" s="326"/>
      <c r="C613" s="326"/>
      <c r="D613" s="327"/>
      <c r="E613" s="326"/>
    </row>
    <row r="614" spans="1:5">
      <c r="A614" s="326"/>
      <c r="B614" s="326"/>
      <c r="C614" s="326"/>
      <c r="D614" s="327"/>
      <c r="E614" s="326"/>
    </row>
    <row r="615" spans="1:5">
      <c r="A615" s="326"/>
      <c r="B615" s="326"/>
      <c r="C615" s="326"/>
      <c r="D615" s="327"/>
      <c r="E615" s="326"/>
    </row>
    <row r="616" spans="1:5">
      <c r="A616" s="326"/>
      <c r="B616" s="326"/>
      <c r="C616" s="326"/>
      <c r="D616" s="327"/>
      <c r="E616" s="326"/>
    </row>
    <row r="617" spans="1:5">
      <c r="A617" s="326"/>
      <c r="B617" s="326"/>
      <c r="C617" s="326"/>
      <c r="D617" s="327"/>
      <c r="E617" s="326"/>
    </row>
    <row r="618" spans="1:5">
      <c r="A618" s="326"/>
      <c r="B618" s="326"/>
      <c r="C618" s="326"/>
      <c r="D618" s="327"/>
      <c r="E618" s="326"/>
    </row>
    <row r="619" spans="1:5">
      <c r="A619" s="326"/>
      <c r="B619" s="326"/>
      <c r="C619" s="326"/>
      <c r="D619" s="327"/>
      <c r="E619" s="326"/>
    </row>
    <row r="620" spans="1:5">
      <c r="A620" s="326"/>
      <c r="B620" s="326"/>
      <c r="C620" s="326"/>
      <c r="D620" s="327"/>
      <c r="E620" s="326"/>
    </row>
    <row r="621" spans="1:5">
      <c r="A621" s="326"/>
      <c r="B621" s="326"/>
      <c r="C621" s="326"/>
      <c r="D621" s="327"/>
      <c r="E621" s="326"/>
    </row>
    <row r="622" spans="1:5">
      <c r="A622" s="326"/>
      <c r="B622" s="326"/>
      <c r="C622" s="326"/>
      <c r="D622" s="327"/>
      <c r="E622" s="326"/>
    </row>
    <row r="623" spans="1:5">
      <c r="A623" s="326"/>
      <c r="B623" s="326"/>
      <c r="C623" s="326"/>
      <c r="D623" s="327"/>
      <c r="E623" s="326"/>
    </row>
    <row r="624" spans="1:5">
      <c r="A624" s="326"/>
      <c r="B624" s="326"/>
      <c r="C624" s="326"/>
      <c r="D624" s="327"/>
      <c r="E624" s="326"/>
    </row>
    <row r="625" spans="1:5">
      <c r="A625" s="326"/>
      <c r="B625" s="326"/>
      <c r="C625" s="326"/>
      <c r="D625" s="327"/>
      <c r="E625" s="326"/>
    </row>
    <row r="626" spans="1:5">
      <c r="A626" s="326"/>
      <c r="B626" s="326"/>
      <c r="C626" s="326"/>
      <c r="D626" s="327"/>
      <c r="E626" s="326"/>
    </row>
    <row r="627" spans="1:5">
      <c r="A627" s="326"/>
      <c r="B627" s="326"/>
      <c r="C627" s="326"/>
      <c r="D627" s="327"/>
      <c r="E627" s="326"/>
    </row>
    <row r="628" spans="1:5">
      <c r="A628" s="326"/>
      <c r="B628" s="326"/>
      <c r="C628" s="326"/>
      <c r="D628" s="327"/>
      <c r="E628" s="326"/>
    </row>
    <row r="629" spans="1:5">
      <c r="A629" s="326"/>
      <c r="B629" s="326"/>
      <c r="C629" s="326"/>
      <c r="D629" s="327"/>
      <c r="E629" s="326"/>
    </row>
    <row r="630" spans="1:5">
      <c r="A630" s="326"/>
      <c r="B630" s="326"/>
      <c r="C630" s="326"/>
      <c r="D630" s="327"/>
      <c r="E630" s="326"/>
    </row>
    <row r="631" spans="1:5">
      <c r="A631" s="326"/>
      <c r="B631" s="326"/>
      <c r="C631" s="326"/>
      <c r="D631" s="327"/>
      <c r="E631" s="326"/>
    </row>
    <row r="632" spans="1:5">
      <c r="A632" s="326"/>
      <c r="B632" s="326"/>
      <c r="C632" s="326"/>
      <c r="D632" s="327"/>
      <c r="E632" s="326"/>
    </row>
    <row r="633" spans="1:5">
      <c r="A633" s="326"/>
      <c r="B633" s="326"/>
      <c r="C633" s="326"/>
      <c r="D633" s="327"/>
      <c r="E633" s="326"/>
    </row>
    <row r="634" spans="1:5">
      <c r="A634" s="326"/>
      <c r="B634" s="326"/>
      <c r="C634" s="326"/>
      <c r="D634" s="327"/>
      <c r="E634" s="326"/>
    </row>
    <row r="635" spans="1:5">
      <c r="A635" s="326"/>
      <c r="B635" s="326"/>
      <c r="C635" s="326"/>
      <c r="D635" s="327"/>
      <c r="E635" s="326"/>
    </row>
    <row r="636" spans="1:5">
      <c r="A636" s="326"/>
      <c r="B636" s="326"/>
      <c r="C636" s="326"/>
      <c r="D636" s="327"/>
      <c r="E636" s="326"/>
    </row>
    <row r="637" spans="1:5">
      <c r="A637" s="326"/>
      <c r="B637" s="326"/>
      <c r="C637" s="326"/>
      <c r="D637" s="327"/>
      <c r="E637" s="326"/>
    </row>
    <row r="638" spans="1:5">
      <c r="A638" s="326"/>
      <c r="B638" s="326"/>
      <c r="C638" s="326"/>
      <c r="D638" s="327"/>
      <c r="E638" s="326"/>
    </row>
    <row r="639" spans="1:5">
      <c r="A639" s="326"/>
      <c r="B639" s="326"/>
      <c r="C639" s="326"/>
      <c r="D639" s="327"/>
      <c r="E639" s="326"/>
    </row>
    <row r="640" spans="1:5">
      <c r="A640" s="326"/>
      <c r="B640" s="326"/>
      <c r="C640" s="326"/>
      <c r="D640" s="327"/>
      <c r="E640" s="326"/>
    </row>
    <row r="641" spans="1:5">
      <c r="A641" s="326"/>
      <c r="B641" s="326"/>
      <c r="C641" s="326"/>
      <c r="D641" s="327"/>
      <c r="E641" s="326"/>
    </row>
    <row r="642" spans="1:5">
      <c r="A642" s="326"/>
      <c r="B642" s="326"/>
      <c r="C642" s="326"/>
      <c r="D642" s="327"/>
      <c r="E642" s="326"/>
    </row>
    <row r="643" spans="1:5">
      <c r="A643" s="326"/>
      <c r="B643" s="326"/>
      <c r="C643" s="326"/>
      <c r="D643" s="327"/>
      <c r="E643" s="326"/>
    </row>
    <row r="644" spans="1:5">
      <c r="A644" s="326"/>
      <c r="B644" s="326"/>
      <c r="C644" s="326"/>
      <c r="D644" s="327"/>
      <c r="E644" s="326"/>
    </row>
    <row r="645" spans="1:5">
      <c r="A645" s="326"/>
      <c r="B645" s="326"/>
      <c r="C645" s="326"/>
      <c r="D645" s="327"/>
      <c r="E645" s="326"/>
    </row>
    <row r="646" spans="1:5">
      <c r="A646" s="326"/>
      <c r="B646" s="326"/>
      <c r="C646" s="326"/>
      <c r="D646" s="327"/>
      <c r="E646" s="326"/>
    </row>
    <row r="647" spans="1:5">
      <c r="A647" s="326"/>
      <c r="B647" s="326"/>
      <c r="C647" s="326"/>
      <c r="D647" s="327"/>
      <c r="E647" s="326"/>
    </row>
    <row r="648" spans="1:5">
      <c r="A648" s="326"/>
      <c r="B648" s="326"/>
      <c r="C648" s="326"/>
      <c r="D648" s="327"/>
      <c r="E648" s="326"/>
    </row>
    <row r="649" spans="1:5">
      <c r="A649" s="326"/>
      <c r="B649" s="326"/>
      <c r="C649" s="326"/>
      <c r="D649" s="327"/>
      <c r="E649" s="326"/>
    </row>
    <row r="650" spans="1:5">
      <c r="A650" s="326"/>
      <c r="B650" s="326"/>
      <c r="C650" s="326"/>
      <c r="D650" s="327"/>
      <c r="E650" s="326"/>
    </row>
    <row r="651" spans="1:5">
      <c r="A651" s="326"/>
      <c r="B651" s="326"/>
      <c r="C651" s="326"/>
      <c r="D651" s="327"/>
      <c r="E651" s="326"/>
    </row>
    <row r="652" spans="1:5">
      <c r="A652" s="326"/>
      <c r="B652" s="326"/>
      <c r="C652" s="326"/>
      <c r="D652" s="327"/>
      <c r="E652" s="326"/>
    </row>
    <row r="653" spans="1:5">
      <c r="A653" s="326"/>
      <c r="B653" s="326"/>
      <c r="C653" s="326"/>
      <c r="D653" s="327"/>
      <c r="E653" s="326"/>
    </row>
    <row r="654" spans="1:5">
      <c r="A654" s="326"/>
      <c r="B654" s="326"/>
      <c r="C654" s="326"/>
      <c r="D654" s="327"/>
      <c r="E654" s="326"/>
    </row>
    <row r="655" spans="1:5">
      <c r="A655" s="326"/>
      <c r="B655" s="326"/>
      <c r="C655" s="326"/>
      <c r="D655" s="327"/>
      <c r="E655" s="326"/>
    </row>
    <row r="656" spans="1:5">
      <c r="A656" s="326"/>
      <c r="B656" s="326"/>
      <c r="C656" s="326"/>
      <c r="D656" s="327"/>
      <c r="E656" s="326"/>
    </row>
    <row r="657" spans="1:5">
      <c r="A657" s="326"/>
      <c r="B657" s="326"/>
      <c r="C657" s="326"/>
      <c r="D657" s="327"/>
      <c r="E657" s="326"/>
    </row>
    <row r="658" spans="1:5">
      <c r="A658" s="326"/>
      <c r="B658" s="326"/>
      <c r="C658" s="326"/>
      <c r="D658" s="327"/>
      <c r="E658" s="326"/>
    </row>
    <row r="659" spans="1:5">
      <c r="A659" s="326"/>
      <c r="B659" s="326"/>
      <c r="C659" s="326"/>
      <c r="D659" s="327"/>
      <c r="E659" s="326"/>
    </row>
    <row r="660" spans="1:5">
      <c r="A660" s="326"/>
      <c r="B660" s="326"/>
      <c r="C660" s="326"/>
      <c r="D660" s="327"/>
      <c r="E660" s="326"/>
    </row>
    <row r="661" spans="1:5">
      <c r="A661" s="326"/>
      <c r="B661" s="326"/>
      <c r="C661" s="326"/>
      <c r="D661" s="327"/>
      <c r="E661" s="326"/>
    </row>
    <row r="662" spans="1:5">
      <c r="A662" s="326"/>
      <c r="B662" s="326"/>
      <c r="C662" s="326"/>
      <c r="D662" s="327"/>
      <c r="E662" s="326"/>
    </row>
    <row r="663" spans="1:5">
      <c r="A663" s="326"/>
      <c r="B663" s="326"/>
      <c r="C663" s="326"/>
      <c r="D663" s="327"/>
      <c r="E663" s="326"/>
    </row>
    <row r="664" spans="1:5">
      <c r="A664" s="326"/>
      <c r="B664" s="326"/>
      <c r="C664" s="326"/>
      <c r="D664" s="327"/>
      <c r="E664" s="326"/>
    </row>
    <row r="665" spans="1:5">
      <c r="A665" s="326"/>
      <c r="B665" s="326"/>
      <c r="C665" s="326"/>
      <c r="D665" s="327"/>
      <c r="E665" s="326"/>
    </row>
    <row r="666" spans="1:5">
      <c r="A666" s="326"/>
      <c r="B666" s="326"/>
      <c r="C666" s="326"/>
      <c r="D666" s="327"/>
      <c r="E666" s="326"/>
    </row>
    <row r="667" spans="1:5">
      <c r="A667" s="326"/>
      <c r="B667" s="326"/>
      <c r="C667" s="326"/>
      <c r="D667" s="327"/>
      <c r="E667" s="326"/>
    </row>
    <row r="668" spans="1:5">
      <c r="A668" s="326"/>
      <c r="B668" s="326"/>
      <c r="C668" s="326"/>
      <c r="D668" s="327"/>
      <c r="E668" s="326"/>
    </row>
    <row r="669" spans="1:5">
      <c r="A669" s="326"/>
      <c r="B669" s="326"/>
      <c r="C669" s="326"/>
      <c r="D669" s="327"/>
      <c r="E669" s="326"/>
    </row>
    <row r="670" spans="1:5">
      <c r="D670" s="328"/>
    </row>
    <row r="671" spans="1:5">
      <c r="D671" s="328"/>
    </row>
    <row r="672" spans="1:5">
      <c r="D672" s="328"/>
    </row>
    <row r="673" spans="4:4">
      <c r="D673" s="328"/>
    </row>
    <row r="674" spans="4:4">
      <c r="D674" s="328"/>
    </row>
    <row r="675" spans="4:4">
      <c r="D675" s="328"/>
    </row>
    <row r="676" spans="4:4">
      <c r="D676" s="328"/>
    </row>
    <row r="677" spans="4:4">
      <c r="D677" s="328"/>
    </row>
    <row r="678" spans="4:4">
      <c r="D678" s="328"/>
    </row>
    <row r="679" spans="4:4">
      <c r="D679" s="328"/>
    </row>
    <row r="680" spans="4:4">
      <c r="D680" s="328"/>
    </row>
    <row r="681" spans="4:4">
      <c r="D681" s="328"/>
    </row>
    <row r="682" spans="4:4">
      <c r="D682" s="328"/>
    </row>
    <row r="683" spans="4:4">
      <c r="D683" s="328"/>
    </row>
    <row r="684" spans="4:4">
      <c r="D684" s="328"/>
    </row>
    <row r="685" spans="4:4">
      <c r="D685" s="328"/>
    </row>
    <row r="686" spans="4:4">
      <c r="D686" s="328"/>
    </row>
    <row r="687" spans="4:4">
      <c r="D687" s="328"/>
    </row>
    <row r="688" spans="4:4">
      <c r="D688" s="328"/>
    </row>
    <row r="689" spans="4:4">
      <c r="D689" s="328"/>
    </row>
    <row r="690" spans="4:4">
      <c r="D690" s="328"/>
    </row>
    <row r="691" spans="4:4">
      <c r="D691" s="328"/>
    </row>
    <row r="692" spans="4:4">
      <c r="D692" s="328"/>
    </row>
    <row r="693" spans="4:4">
      <c r="D693" s="328"/>
    </row>
    <row r="694" spans="4:4">
      <c r="D694" s="328"/>
    </row>
    <row r="695" spans="4:4">
      <c r="D695" s="328"/>
    </row>
    <row r="696" spans="4:4">
      <c r="D696" s="328"/>
    </row>
    <row r="697" spans="4:4">
      <c r="D697" s="328"/>
    </row>
    <row r="698" spans="4:4">
      <c r="D698" s="328"/>
    </row>
    <row r="699" spans="4:4">
      <c r="D699" s="328"/>
    </row>
    <row r="700" spans="4:4">
      <c r="D700" s="328"/>
    </row>
    <row r="701" spans="4:4">
      <c r="D701" s="328"/>
    </row>
    <row r="702" spans="4:4">
      <c r="D702" s="328"/>
    </row>
    <row r="703" spans="4:4">
      <c r="D703" s="328"/>
    </row>
    <row r="704" spans="4:4">
      <c r="D704" s="328"/>
    </row>
    <row r="705" spans="4:4">
      <c r="D705" s="328"/>
    </row>
    <row r="706" spans="4:4">
      <c r="D706" s="328"/>
    </row>
    <row r="707" spans="4:4">
      <c r="D707" s="328"/>
    </row>
    <row r="708" spans="4:4">
      <c r="D708" s="328"/>
    </row>
    <row r="709" spans="4:4">
      <c r="D709" s="328"/>
    </row>
    <row r="710" spans="4:4">
      <c r="D710" s="328"/>
    </row>
    <row r="711" spans="4:4">
      <c r="D711" s="328"/>
    </row>
    <row r="712" spans="4:4">
      <c r="D712" s="328"/>
    </row>
    <row r="713" spans="4:4">
      <c r="D713" s="328"/>
    </row>
    <row r="714" spans="4:4">
      <c r="D714" s="328"/>
    </row>
    <row r="715" spans="4:4">
      <c r="D715" s="328"/>
    </row>
    <row r="716" spans="4:4">
      <c r="D716" s="328"/>
    </row>
    <row r="717" spans="4:4">
      <c r="D717" s="328"/>
    </row>
    <row r="718" spans="4:4">
      <c r="D718" s="328"/>
    </row>
    <row r="719" spans="4:4">
      <c r="D719" s="328"/>
    </row>
    <row r="720" spans="4:4">
      <c r="D720" s="328"/>
    </row>
    <row r="721" spans="4:4">
      <c r="D721" s="328"/>
    </row>
    <row r="722" spans="4:4">
      <c r="D722" s="328"/>
    </row>
    <row r="723" spans="4:4">
      <c r="D723" s="328"/>
    </row>
    <row r="724" spans="4:4">
      <c r="D724" s="328"/>
    </row>
    <row r="725" spans="4:4">
      <c r="D725" s="328"/>
    </row>
    <row r="726" spans="4:4">
      <c r="D726" s="328"/>
    </row>
    <row r="727" spans="4:4">
      <c r="D727" s="328"/>
    </row>
    <row r="728" spans="4:4">
      <c r="D728" s="328"/>
    </row>
    <row r="729" spans="4:4">
      <c r="D729" s="328"/>
    </row>
    <row r="730" spans="4:4">
      <c r="D730" s="328"/>
    </row>
    <row r="731" spans="4:4">
      <c r="D731" s="328"/>
    </row>
    <row r="732" spans="4:4">
      <c r="D732" s="328"/>
    </row>
    <row r="733" spans="4:4">
      <c r="D733" s="328"/>
    </row>
    <row r="734" spans="4:4">
      <c r="D734" s="328"/>
    </row>
    <row r="735" spans="4:4">
      <c r="D735" s="328"/>
    </row>
    <row r="736" spans="4:4">
      <c r="D736" s="328"/>
    </row>
    <row r="737" spans="4:4">
      <c r="D737" s="328"/>
    </row>
    <row r="738" spans="4:4">
      <c r="D738" s="328"/>
    </row>
    <row r="739" spans="4:4">
      <c r="D739" s="328"/>
    </row>
    <row r="740" spans="4:4">
      <c r="D740" s="328"/>
    </row>
    <row r="741" spans="4:4">
      <c r="D741" s="328"/>
    </row>
    <row r="742" spans="4:4">
      <c r="D742" s="328"/>
    </row>
    <row r="743" spans="4:4">
      <c r="D743" s="328"/>
    </row>
    <row r="744" spans="4:4">
      <c r="D744" s="328"/>
    </row>
    <row r="745" spans="4:4">
      <c r="D745" s="328"/>
    </row>
    <row r="746" spans="4:4">
      <c r="D746" s="328"/>
    </row>
    <row r="747" spans="4:4">
      <c r="D747" s="328"/>
    </row>
    <row r="748" spans="4:4">
      <c r="D748" s="328"/>
    </row>
    <row r="749" spans="4:4">
      <c r="D749" s="328"/>
    </row>
    <row r="750" spans="4:4">
      <c r="D750" s="328"/>
    </row>
    <row r="751" spans="4:4">
      <c r="D751" s="328"/>
    </row>
    <row r="752" spans="4:4">
      <c r="D752" s="328"/>
    </row>
    <row r="753" spans="4:4">
      <c r="D753" s="328"/>
    </row>
    <row r="754" spans="4:4">
      <c r="D754" s="328"/>
    </row>
    <row r="755" spans="4:4">
      <c r="D755" s="328"/>
    </row>
    <row r="756" spans="4:4">
      <c r="D756" s="328"/>
    </row>
    <row r="757" spans="4:4">
      <c r="D757" s="328"/>
    </row>
    <row r="758" spans="4:4">
      <c r="D758" s="328"/>
    </row>
    <row r="759" spans="4:4">
      <c r="D759" s="328"/>
    </row>
    <row r="760" spans="4:4">
      <c r="D760" s="328"/>
    </row>
    <row r="761" spans="4:4">
      <c r="D761" s="328"/>
    </row>
    <row r="762" spans="4:4">
      <c r="D762" s="328"/>
    </row>
    <row r="763" spans="4:4">
      <c r="D763" s="328"/>
    </row>
    <row r="764" spans="4:4">
      <c r="D764" s="328"/>
    </row>
    <row r="765" spans="4:4">
      <c r="D765" s="328"/>
    </row>
    <row r="766" spans="4:4">
      <c r="D766" s="328"/>
    </row>
    <row r="767" spans="4:4">
      <c r="D767" s="328"/>
    </row>
    <row r="768" spans="4:4">
      <c r="D768" s="328"/>
    </row>
    <row r="769" spans="4:4">
      <c r="D769" s="328"/>
    </row>
    <row r="770" spans="4:4">
      <c r="D770" s="328"/>
    </row>
    <row r="771" spans="4:4">
      <c r="D771" s="328"/>
    </row>
    <row r="772" spans="4:4">
      <c r="D772" s="328"/>
    </row>
    <row r="773" spans="4:4">
      <c r="D773" s="328"/>
    </row>
    <row r="774" spans="4:4">
      <c r="D774" s="328"/>
    </row>
    <row r="775" spans="4:4">
      <c r="D775" s="328"/>
    </row>
    <row r="776" spans="4:4">
      <c r="D776" s="328"/>
    </row>
    <row r="777" spans="4:4">
      <c r="D777" s="328"/>
    </row>
    <row r="778" spans="4:4">
      <c r="D778" s="328"/>
    </row>
    <row r="779" spans="4:4">
      <c r="D779" s="328"/>
    </row>
    <row r="780" spans="4:4">
      <c r="D780" s="328"/>
    </row>
    <row r="781" spans="4:4">
      <c r="D781" s="328"/>
    </row>
    <row r="782" spans="4:4">
      <c r="D782" s="328"/>
    </row>
    <row r="783" spans="4:4">
      <c r="D783" s="328"/>
    </row>
    <row r="784" spans="4:4">
      <c r="D784" s="328"/>
    </row>
    <row r="785" spans="4:4">
      <c r="D785" s="328"/>
    </row>
    <row r="786" spans="4:4">
      <c r="D786" s="328"/>
    </row>
    <row r="787" spans="4:4">
      <c r="D787" s="328"/>
    </row>
    <row r="788" spans="4:4">
      <c r="D788" s="328"/>
    </row>
    <row r="789" spans="4:4">
      <c r="D789" s="328"/>
    </row>
    <row r="790" spans="4:4">
      <c r="D790" s="328"/>
    </row>
    <row r="791" spans="4:4">
      <c r="D791" s="328"/>
    </row>
    <row r="792" spans="4:4">
      <c r="D792" s="328"/>
    </row>
    <row r="793" spans="4:4">
      <c r="D793" s="328"/>
    </row>
    <row r="794" spans="4:4">
      <c r="D794" s="328"/>
    </row>
    <row r="795" spans="4:4">
      <c r="D795" s="328"/>
    </row>
    <row r="796" spans="4:4">
      <c r="D796" s="328"/>
    </row>
    <row r="797" spans="4:4">
      <c r="D797" s="328"/>
    </row>
    <row r="798" spans="4:4">
      <c r="D798" s="328"/>
    </row>
    <row r="799" spans="4:4">
      <c r="D799" s="328"/>
    </row>
    <row r="800" spans="4:4">
      <c r="D800" s="328"/>
    </row>
    <row r="801" spans="4:4">
      <c r="D801" s="328"/>
    </row>
    <row r="802" spans="4:4">
      <c r="D802" s="328"/>
    </row>
    <row r="803" spans="4:4">
      <c r="D803" s="328"/>
    </row>
    <row r="804" spans="4:4">
      <c r="D804" s="328"/>
    </row>
    <row r="805" spans="4:4">
      <c r="D805" s="328"/>
    </row>
    <row r="806" spans="4:4">
      <c r="D806" s="328"/>
    </row>
    <row r="807" spans="4:4">
      <c r="D807" s="328"/>
    </row>
    <row r="808" spans="4:4">
      <c r="D808" s="328"/>
    </row>
    <row r="809" spans="4:4">
      <c r="D809" s="328"/>
    </row>
    <row r="810" spans="4:4">
      <c r="D810" s="328"/>
    </row>
    <row r="811" spans="4:4">
      <c r="D811" s="328"/>
    </row>
    <row r="812" spans="4:4">
      <c r="D812" s="328"/>
    </row>
    <row r="813" spans="4:4">
      <c r="D813" s="328"/>
    </row>
    <row r="814" spans="4:4">
      <c r="D814" s="328"/>
    </row>
    <row r="815" spans="4:4">
      <c r="D815" s="328"/>
    </row>
    <row r="816" spans="4:4">
      <c r="D816" s="328"/>
    </row>
    <row r="817" spans="4:4">
      <c r="D817" s="328"/>
    </row>
    <row r="818" spans="4:4">
      <c r="D818" s="328"/>
    </row>
    <row r="819" spans="4:4">
      <c r="D819" s="328"/>
    </row>
    <row r="820" spans="4:4">
      <c r="D820" s="328"/>
    </row>
    <row r="821" spans="4:4">
      <c r="D821" s="328"/>
    </row>
    <row r="822" spans="4:4">
      <c r="D822" s="328"/>
    </row>
    <row r="823" spans="4:4">
      <c r="D823" s="328"/>
    </row>
    <row r="824" spans="4:4">
      <c r="D824" s="328"/>
    </row>
    <row r="825" spans="4:4">
      <c r="D825" s="328"/>
    </row>
    <row r="826" spans="4:4">
      <c r="D826" s="328"/>
    </row>
    <row r="827" spans="4:4">
      <c r="D827" s="328"/>
    </row>
    <row r="828" spans="4:4">
      <c r="D828" s="328"/>
    </row>
    <row r="829" spans="4:4">
      <c r="D829" s="328"/>
    </row>
    <row r="830" spans="4:4">
      <c r="D830" s="328"/>
    </row>
    <row r="831" spans="4:4">
      <c r="D831" s="328"/>
    </row>
    <row r="832" spans="4:4">
      <c r="D832" s="328"/>
    </row>
    <row r="833" spans="4:4">
      <c r="D833" s="328"/>
    </row>
    <row r="834" spans="4:4">
      <c r="D834" s="328"/>
    </row>
    <row r="835" spans="4:4">
      <c r="D835" s="328"/>
    </row>
    <row r="836" spans="4:4">
      <c r="D836" s="328"/>
    </row>
    <row r="837" spans="4:4">
      <c r="D837" s="328"/>
    </row>
    <row r="838" spans="4:4">
      <c r="D838" s="328"/>
    </row>
    <row r="839" spans="4:4">
      <c r="D839" s="328"/>
    </row>
    <row r="840" spans="4:4">
      <c r="D840" s="328"/>
    </row>
    <row r="841" spans="4:4">
      <c r="D841" s="328"/>
    </row>
    <row r="842" spans="4:4">
      <c r="D842" s="328"/>
    </row>
    <row r="843" spans="4:4">
      <c r="D843" s="328"/>
    </row>
    <row r="844" spans="4:4">
      <c r="D844" s="328"/>
    </row>
    <row r="845" spans="4:4">
      <c r="D845" s="328"/>
    </row>
    <row r="846" spans="4:4">
      <c r="D846" s="328"/>
    </row>
    <row r="847" spans="4:4">
      <c r="D847" s="328"/>
    </row>
    <row r="848" spans="4:4">
      <c r="D848" s="328"/>
    </row>
    <row r="849" spans="4:4">
      <c r="D849" s="328"/>
    </row>
    <row r="850" spans="4:4">
      <c r="D850" s="328"/>
    </row>
    <row r="851" spans="4:4">
      <c r="D851" s="328"/>
    </row>
    <row r="852" spans="4:4">
      <c r="D852" s="328"/>
    </row>
    <row r="853" spans="4:4">
      <c r="D853" s="328"/>
    </row>
    <row r="854" spans="4:4">
      <c r="D854" s="328"/>
    </row>
    <row r="855" spans="4:4">
      <c r="D855" s="328"/>
    </row>
    <row r="856" spans="4:4">
      <c r="D856" s="328"/>
    </row>
    <row r="857" spans="4:4">
      <c r="D857" s="328"/>
    </row>
    <row r="858" spans="4:4">
      <c r="D858" s="328"/>
    </row>
    <row r="859" spans="4:4">
      <c r="D859" s="328"/>
    </row>
    <row r="860" spans="4:4">
      <c r="D860" s="328"/>
    </row>
    <row r="861" spans="4:4">
      <c r="D861" s="328"/>
    </row>
    <row r="862" spans="4:4">
      <c r="D862" s="328"/>
    </row>
    <row r="863" spans="4:4">
      <c r="D863" s="328"/>
    </row>
    <row r="864" spans="4:4">
      <c r="D864" s="328"/>
    </row>
    <row r="865" spans="4:4">
      <c r="D865" s="328"/>
    </row>
    <row r="866" spans="4:4">
      <c r="D866" s="328"/>
    </row>
  </sheetData>
  <mergeCells count="45">
    <mergeCell ref="A181:A191"/>
    <mergeCell ref="B182:B188"/>
    <mergeCell ref="B146:B154"/>
    <mergeCell ref="A155:A169"/>
    <mergeCell ref="B156:B158"/>
    <mergeCell ref="B161:B165"/>
    <mergeCell ref="B166:B169"/>
    <mergeCell ref="A170:A180"/>
    <mergeCell ref="B170:B172"/>
    <mergeCell ref="B179:B180"/>
    <mergeCell ref="A84:A97"/>
    <mergeCell ref="B84:B90"/>
    <mergeCell ref="B91:B97"/>
    <mergeCell ref="A98:A154"/>
    <mergeCell ref="B98:B103"/>
    <mergeCell ref="B104:B113"/>
    <mergeCell ref="B114:B123"/>
    <mergeCell ref="B124:B130"/>
    <mergeCell ref="B131:B139"/>
    <mergeCell ref="B140:B145"/>
    <mergeCell ref="A61:A83"/>
    <mergeCell ref="B61:B64"/>
    <mergeCell ref="B65:B68"/>
    <mergeCell ref="B69:B73"/>
    <mergeCell ref="B74:B76"/>
    <mergeCell ref="B78:B83"/>
    <mergeCell ref="A43:A60"/>
    <mergeCell ref="B43:B46"/>
    <mergeCell ref="B47:B50"/>
    <mergeCell ref="B51:B52"/>
    <mergeCell ref="B53:B54"/>
    <mergeCell ref="B55:B56"/>
    <mergeCell ref="B57:B60"/>
    <mergeCell ref="A1:E1"/>
    <mergeCell ref="A3:A10"/>
    <mergeCell ref="B5:B8"/>
    <mergeCell ref="B9:B10"/>
    <mergeCell ref="A11:A42"/>
    <mergeCell ref="B11:B17"/>
    <mergeCell ref="B18:B20"/>
    <mergeCell ref="B21:B27"/>
    <mergeCell ref="B28:B31"/>
    <mergeCell ref="B32:B35"/>
    <mergeCell ref="B36:B38"/>
    <mergeCell ref="B39:B40"/>
  </mergeCells>
  <pageMargins left="0.93" right="0.75" top="0.96" bottom="0.39370078740157483" header="0.15" footer="0"/>
  <pageSetup paperSize="9" scale="27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C4:E12"/>
  <sheetViews>
    <sheetView workbookViewId="0">
      <selection activeCell="E13" sqref="E13"/>
    </sheetView>
  </sheetViews>
  <sheetFormatPr defaultRowHeight="15"/>
  <cols>
    <col min="5" max="5" width="10" bestFit="1" customWidth="1"/>
  </cols>
  <sheetData>
    <row r="4" spans="3:5">
      <c r="C4" s="47" t="s">
        <v>78</v>
      </c>
      <c r="D4" s="47" t="s">
        <v>2</v>
      </c>
      <c r="E4">
        <v>41.4</v>
      </c>
    </row>
    <row r="5" spans="3:5">
      <c r="C5" s="47" t="s">
        <v>966</v>
      </c>
      <c r="D5" s="47" t="s">
        <v>23</v>
      </c>
      <c r="E5">
        <v>400</v>
      </c>
    </row>
    <row r="6" spans="3:5">
      <c r="C6" s="47" t="s">
        <v>592</v>
      </c>
      <c r="D6" s="47" t="s">
        <v>86</v>
      </c>
      <c r="E6" s="61">
        <f>E4*1000/(SQRT(3)*E5)</f>
        <v>59.755752861126268</v>
      </c>
    </row>
    <row r="8" spans="3:5">
      <c r="C8" s="47" t="s">
        <v>57</v>
      </c>
      <c r="D8" s="47" t="s">
        <v>86</v>
      </c>
      <c r="E8">
        <v>80</v>
      </c>
    </row>
    <row r="9" spans="3:5">
      <c r="C9" s="47" t="s">
        <v>967</v>
      </c>
      <c r="D9" s="329" t="s">
        <v>968</v>
      </c>
      <c r="E9">
        <v>1.0820000000000001</v>
      </c>
    </row>
    <row r="10" spans="3:5">
      <c r="C10" s="47" t="s">
        <v>74</v>
      </c>
      <c r="D10" s="329" t="s">
        <v>970</v>
      </c>
      <c r="E10">
        <v>0.21</v>
      </c>
    </row>
    <row r="11" spans="3:5">
      <c r="C11" s="329" t="s">
        <v>969</v>
      </c>
      <c r="D11" s="329" t="s">
        <v>23</v>
      </c>
      <c r="E11" s="61">
        <f>E8*E9*E10</f>
        <v>18.177599999999998</v>
      </c>
    </row>
    <row r="12" spans="3:5">
      <c r="C12" s="47" t="s">
        <v>971</v>
      </c>
      <c r="D12" s="329" t="s">
        <v>93</v>
      </c>
      <c r="E12" s="294">
        <f>E11/(E5/SQRT(3))</f>
        <v>7.8711316899160041E-2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3"/>
  <sheetViews>
    <sheetView zoomScaleNormal="100" workbookViewId="0">
      <selection activeCell="S17" sqref="S17"/>
    </sheetView>
  </sheetViews>
  <sheetFormatPr defaultRowHeight="15"/>
  <cols>
    <col min="2" max="2" width="6.7109375" customWidth="1"/>
    <col min="3" max="3" width="22" customWidth="1"/>
    <col min="4" max="4" width="12.85546875" bestFit="1" customWidth="1"/>
    <col min="5" max="6" width="11.85546875" customWidth="1"/>
    <col min="9" max="9" width="9.5703125" bestFit="1" customWidth="1"/>
    <col min="10" max="10" width="9.28515625" bestFit="1" customWidth="1"/>
    <col min="12" max="13" width="13.28515625" customWidth="1"/>
    <col min="14" max="14" width="11.5703125" bestFit="1" customWidth="1"/>
  </cols>
  <sheetData>
    <row r="1" spans="1:21" ht="26.25">
      <c r="A1" s="7" t="s">
        <v>19</v>
      </c>
    </row>
    <row r="3" spans="1:21">
      <c r="C3" t="s">
        <v>24</v>
      </c>
      <c r="D3" s="13">
        <f>D4/SQRT(3)</f>
        <v>230.94010767585033</v>
      </c>
      <c r="E3" t="s">
        <v>23</v>
      </c>
      <c r="S3" s="47" t="s">
        <v>737</v>
      </c>
    </row>
    <row r="4" spans="1:21">
      <c r="C4" t="s">
        <v>26</v>
      </c>
      <c r="D4">
        <v>400</v>
      </c>
      <c r="E4" t="s">
        <v>23</v>
      </c>
    </row>
    <row r="6" spans="1:21" ht="18.75">
      <c r="B6" s="12" t="s">
        <v>52</v>
      </c>
      <c r="S6" s="47" t="s">
        <v>39</v>
      </c>
      <c r="T6" s="47" t="s">
        <v>739</v>
      </c>
      <c r="U6" s="47" t="s">
        <v>58</v>
      </c>
    </row>
    <row r="7" spans="1:21">
      <c r="C7" t="s">
        <v>17</v>
      </c>
      <c r="S7">
        <v>31.7</v>
      </c>
      <c r="T7">
        <v>18.8</v>
      </c>
    </row>
    <row r="8" spans="1:21" ht="15" customHeight="1">
      <c r="C8" s="8" t="s">
        <v>4</v>
      </c>
      <c r="D8" s="8" t="s">
        <v>5</v>
      </c>
      <c r="E8" s="8" t="s">
        <v>16</v>
      </c>
      <c r="F8" s="8" t="s">
        <v>15</v>
      </c>
      <c r="G8" s="8" t="s">
        <v>6</v>
      </c>
      <c r="H8" s="8" t="s">
        <v>7</v>
      </c>
      <c r="I8" s="8" t="s">
        <v>39</v>
      </c>
      <c r="J8" s="8" t="s">
        <v>40</v>
      </c>
      <c r="S8">
        <v>7.3</v>
      </c>
      <c r="T8">
        <v>0</v>
      </c>
    </row>
    <row r="9" spans="1:21">
      <c r="C9" s="9" t="s">
        <v>10</v>
      </c>
      <c r="D9" s="9" t="s">
        <v>11</v>
      </c>
      <c r="E9" s="15">
        <f>$D$3*3*10*16/1000</f>
        <v>110.85125168440817</v>
      </c>
      <c r="F9" s="9">
        <v>1</v>
      </c>
      <c r="G9" s="9">
        <v>1</v>
      </c>
      <c r="H9" s="9">
        <v>0.2</v>
      </c>
      <c r="I9" s="14">
        <f>E9*G9*H9</f>
        <v>22.170250336881637</v>
      </c>
      <c r="J9" s="9">
        <f>I9*TAN(ACOS(F9))</f>
        <v>0</v>
      </c>
      <c r="S9">
        <v>33</v>
      </c>
      <c r="T9">
        <v>13.5</v>
      </c>
    </row>
    <row r="10" spans="1:21">
      <c r="C10" s="9" t="s">
        <v>12</v>
      </c>
      <c r="D10" s="9" t="s">
        <v>13</v>
      </c>
      <c r="E10" s="9">
        <f>12*1</f>
        <v>12</v>
      </c>
      <c r="F10" s="9">
        <v>1</v>
      </c>
      <c r="G10" s="9">
        <v>1</v>
      </c>
      <c r="H10" s="9">
        <v>1</v>
      </c>
      <c r="I10" s="9">
        <f t="shared" ref="I10:I11" si="0">E10*G10*H10</f>
        <v>12</v>
      </c>
      <c r="J10" s="9">
        <f t="shared" ref="J10:J11" si="1">I10*TAN(ACOS(F10))</f>
        <v>0</v>
      </c>
      <c r="S10">
        <v>46.4</v>
      </c>
      <c r="T10">
        <v>7.2</v>
      </c>
    </row>
    <row r="11" spans="1:21" ht="30">
      <c r="C11" s="9" t="s">
        <v>14</v>
      </c>
      <c r="D11" s="10" t="s">
        <v>20</v>
      </c>
      <c r="E11" s="9">
        <f>6*16*2*36*1.25/1000</f>
        <v>8.64</v>
      </c>
      <c r="F11" s="9">
        <v>0.6</v>
      </c>
      <c r="G11" s="9">
        <v>1</v>
      </c>
      <c r="H11" s="9">
        <v>1</v>
      </c>
      <c r="I11" s="9">
        <f t="shared" si="0"/>
        <v>8.64</v>
      </c>
      <c r="J11" s="9">
        <f t="shared" si="1"/>
        <v>11.52</v>
      </c>
      <c r="S11">
        <v>12.1</v>
      </c>
      <c r="T11">
        <v>5.4</v>
      </c>
    </row>
    <row r="12" spans="1:21">
      <c r="C12" s="11" t="s">
        <v>1</v>
      </c>
      <c r="D12" s="11"/>
      <c r="E12" s="11"/>
      <c r="F12" s="11"/>
      <c r="G12" s="11"/>
      <c r="H12" s="11"/>
      <c r="I12" s="16">
        <f>SUM(I9:I11)</f>
        <v>42.810250336881637</v>
      </c>
      <c r="J12" s="11">
        <f>SUM(J9:J11)</f>
        <v>11.52</v>
      </c>
      <c r="M12" s="18" t="s">
        <v>64</v>
      </c>
      <c r="N12" s="18" t="s">
        <v>15</v>
      </c>
      <c r="S12">
        <v>9.1</v>
      </c>
      <c r="T12">
        <v>4.3</v>
      </c>
    </row>
    <row r="13" spans="1:21">
      <c r="M13" s="27">
        <f>N18*1000/(3*D3)</f>
        <v>93.947476651678912</v>
      </c>
      <c r="N13" s="21">
        <f>L18/N18</f>
        <v>0.96919675003876815</v>
      </c>
      <c r="S13">
        <v>42</v>
      </c>
      <c r="T13">
        <v>54.7</v>
      </c>
    </row>
    <row r="14" spans="1:21">
      <c r="C14" t="s">
        <v>21</v>
      </c>
      <c r="S14" s="61">
        <f>7*22/0.9*0.7</f>
        <v>119.77777777777777</v>
      </c>
      <c r="T14" s="61">
        <f>S14*TAN(ACOS(0.83))</f>
        <v>80.491155979867855</v>
      </c>
    </row>
    <row r="15" spans="1:21">
      <c r="C15" s="8" t="s">
        <v>4</v>
      </c>
      <c r="D15" s="8" t="s">
        <v>5</v>
      </c>
      <c r="E15" s="8" t="s">
        <v>16</v>
      </c>
      <c r="F15" s="8" t="s">
        <v>15</v>
      </c>
      <c r="G15" s="8" t="s">
        <v>6</v>
      </c>
      <c r="H15" s="8" t="s">
        <v>7</v>
      </c>
      <c r="I15" s="8" t="s">
        <v>8</v>
      </c>
      <c r="J15" s="8" t="s">
        <v>9</v>
      </c>
    </row>
    <row r="16" spans="1:21">
      <c r="C16" s="9" t="s">
        <v>12</v>
      </c>
      <c r="D16" s="9" t="s">
        <v>25</v>
      </c>
      <c r="E16" s="9">
        <v>6</v>
      </c>
      <c r="F16" s="9">
        <v>1</v>
      </c>
      <c r="G16" s="9">
        <v>1</v>
      </c>
      <c r="H16" s="9">
        <v>1</v>
      </c>
      <c r="I16" s="9">
        <f>E16*G16*H16</f>
        <v>6</v>
      </c>
      <c r="J16" s="9">
        <f>I16*TAN(ACOS(F16))</f>
        <v>0</v>
      </c>
      <c r="L16" s="18" t="s">
        <v>30</v>
      </c>
      <c r="M16" s="18" t="s">
        <v>29</v>
      </c>
      <c r="N16" s="18" t="s">
        <v>31</v>
      </c>
      <c r="S16" s="61">
        <f>SUM(S7:S15)</f>
        <v>301.37777777777774</v>
      </c>
      <c r="T16" s="61">
        <f>SUM(T7:T15)</f>
        <v>184.39115597986785</v>
      </c>
      <c r="U16" s="61">
        <f>SQRT(S16^2+T16^2)</f>
        <v>353.31100087863598</v>
      </c>
    </row>
    <row r="17" spans="2:21">
      <c r="C17" s="9" t="s">
        <v>22</v>
      </c>
      <c r="D17" s="9" t="s">
        <v>27</v>
      </c>
      <c r="E17" s="14">
        <f>SQRT(3)*D4*18*0.95/1000</f>
        <v>11.847227523771121</v>
      </c>
      <c r="F17" s="9">
        <v>0.95</v>
      </c>
      <c r="G17" s="9">
        <v>1</v>
      </c>
      <c r="H17" s="9">
        <v>1</v>
      </c>
      <c r="I17" s="14">
        <f t="shared" ref="I17" si="2">E17*G17*H17</f>
        <v>11.847227523771121</v>
      </c>
      <c r="J17" s="14">
        <f t="shared" ref="J17" si="3">I17*TAN(ACOS(F17))</f>
        <v>3.8939953775011102</v>
      </c>
      <c r="L17" s="27">
        <f>I12+I18</f>
        <v>60.657477860652762</v>
      </c>
      <c r="M17" s="27">
        <f>J12+J18</f>
        <v>15.413995377501109</v>
      </c>
      <c r="N17" s="27">
        <f>SQRT(L17^2+M17^2)</f>
        <v>62.585308770614894</v>
      </c>
      <c r="O17" t="s">
        <v>44</v>
      </c>
      <c r="U17">
        <v>0.9</v>
      </c>
    </row>
    <row r="18" spans="2:21">
      <c r="C18" s="11" t="s">
        <v>1</v>
      </c>
      <c r="D18" s="11"/>
      <c r="E18" s="11"/>
      <c r="F18" s="11"/>
      <c r="G18" s="11"/>
      <c r="H18" s="11"/>
      <c r="I18" s="16">
        <f>SUM(I16:I17)</f>
        <v>17.847227523771121</v>
      </c>
      <c r="J18" s="16">
        <f>SUM(J16:J17)</f>
        <v>3.8939953775011102</v>
      </c>
      <c r="L18" s="19">
        <f>L17*1.04</f>
        <v>63.083776975078877</v>
      </c>
      <c r="M18" s="19">
        <f t="shared" ref="M18" si="4">M17*1.04</f>
        <v>16.030555192601156</v>
      </c>
      <c r="N18" s="19">
        <f>SQRT(L18^2+M18^2)</f>
        <v>65.088721121439491</v>
      </c>
      <c r="O18" t="s">
        <v>45</v>
      </c>
      <c r="U18" s="61">
        <f>U16*0.9</f>
        <v>317.97990079077238</v>
      </c>
    </row>
    <row r="19" spans="2:21">
      <c r="C19" s="23"/>
      <c r="D19" s="23"/>
      <c r="E19" s="23"/>
      <c r="F19" s="23"/>
      <c r="G19" s="23"/>
      <c r="H19" s="23"/>
      <c r="I19" s="24"/>
      <c r="J19" s="24"/>
    </row>
    <row r="20" spans="2:21" ht="15" customHeight="1">
      <c r="C20" s="178" t="s">
        <v>28</v>
      </c>
      <c r="D20" s="178"/>
      <c r="E20" s="178"/>
      <c r="F20" s="178"/>
      <c r="G20" s="178"/>
      <c r="H20" s="178"/>
      <c r="I20" s="178"/>
      <c r="J20" s="178"/>
      <c r="L20" s="26"/>
      <c r="M20" s="26"/>
      <c r="N20" s="26"/>
      <c r="T20" s="47" t="s">
        <v>343</v>
      </c>
      <c r="U20" s="295">
        <v>1000</v>
      </c>
    </row>
    <row r="21" spans="2:21">
      <c r="C21" s="219"/>
      <c r="D21" s="219"/>
      <c r="E21" s="219"/>
      <c r="F21" s="219"/>
      <c r="G21" s="219"/>
      <c r="H21" s="219"/>
      <c r="I21" s="220"/>
      <c r="J21" s="220"/>
      <c r="L21" s="25"/>
      <c r="M21" s="25"/>
      <c r="N21" s="25"/>
      <c r="T21" s="47" t="s">
        <v>738</v>
      </c>
      <c r="U21" s="294">
        <f>U18/U20</f>
        <v>0.31797990079077237</v>
      </c>
    </row>
    <row r="24" spans="2:21" ht="18.75">
      <c r="B24" s="12" t="s">
        <v>53</v>
      </c>
    </row>
    <row r="25" spans="2:21">
      <c r="C25" s="8" t="s">
        <v>33</v>
      </c>
      <c r="D25" s="8" t="s">
        <v>37</v>
      </c>
      <c r="E25" s="22" t="s">
        <v>38</v>
      </c>
      <c r="F25" s="8" t="s">
        <v>15</v>
      </c>
      <c r="G25" s="8" t="s">
        <v>6</v>
      </c>
      <c r="H25" s="8" t="s">
        <v>39</v>
      </c>
      <c r="I25" s="8" t="s">
        <v>40</v>
      </c>
      <c r="J25" s="8" t="s">
        <v>41</v>
      </c>
      <c r="K25" s="60" t="s">
        <v>197</v>
      </c>
    </row>
    <row r="26" spans="2:21">
      <c r="C26" s="9" t="s">
        <v>34</v>
      </c>
      <c r="D26" s="9">
        <v>11</v>
      </c>
      <c r="E26" s="9">
        <v>0.87</v>
      </c>
      <c r="F26" s="9">
        <v>0.86</v>
      </c>
      <c r="G26" s="9">
        <v>1</v>
      </c>
      <c r="H26" s="14">
        <f>D26/E26*G26</f>
        <v>12.64367816091954</v>
      </c>
      <c r="I26" s="15">
        <f>H26*TAN(ACOS(F26))</f>
        <v>7.5023180456510978</v>
      </c>
      <c r="J26" s="17">
        <f>SQRT(H26^2+I26^2)</f>
        <v>14.701951349906441</v>
      </c>
      <c r="K26" s="61">
        <f>J26*1000/(3*$D$3)</f>
        <v>21.220438923703163</v>
      </c>
    </row>
    <row r="27" spans="2:21">
      <c r="C27" s="9" t="s">
        <v>35</v>
      </c>
      <c r="D27" s="9">
        <v>22</v>
      </c>
      <c r="E27" s="9">
        <v>0.89</v>
      </c>
      <c r="F27" s="9">
        <v>0.86</v>
      </c>
      <c r="G27" s="9">
        <v>1</v>
      </c>
      <c r="H27" s="14">
        <f t="shared" ref="H27:H28" si="5">D27/E27*G27</f>
        <v>24.719101123595504</v>
      </c>
      <c r="I27" s="15">
        <f t="shared" ref="I27:I28" si="6">H27*TAN(ACOS(F27))</f>
        <v>14.667453257789786</v>
      </c>
      <c r="J27" s="17">
        <f t="shared" ref="J27:J28" si="7">SQRT(H27^2+I27^2)</f>
        <v>28.743140841390119</v>
      </c>
      <c r="K27" s="61">
        <f t="shared" ref="K27:K28" si="8">J27*1000/(3*$D$3)</f>
        <v>41.487150255329773</v>
      </c>
    </row>
    <row r="28" spans="2:21">
      <c r="C28" s="9" t="s">
        <v>36</v>
      </c>
      <c r="D28" s="9">
        <v>37</v>
      </c>
      <c r="E28" s="9">
        <v>0.9</v>
      </c>
      <c r="F28" s="9">
        <v>0.86</v>
      </c>
      <c r="G28" s="9">
        <v>1</v>
      </c>
      <c r="H28" s="14">
        <f t="shared" si="5"/>
        <v>41.111111111111107</v>
      </c>
      <c r="I28" s="15">
        <f t="shared" si="6"/>
        <v>24.393900796920082</v>
      </c>
      <c r="J28" s="17">
        <f t="shared" si="7"/>
        <v>47.803617571059426</v>
      </c>
      <c r="K28" s="61">
        <f t="shared" si="8"/>
        <v>68.9985786822227</v>
      </c>
      <c r="L28" s="18" t="s">
        <v>42</v>
      </c>
      <c r="M28" s="18" t="s">
        <v>15</v>
      </c>
      <c r="N28" s="18" t="s">
        <v>57</v>
      </c>
    </row>
    <row r="29" spans="2:21">
      <c r="C29" s="11" t="s">
        <v>1</v>
      </c>
      <c r="D29" s="11"/>
      <c r="E29" s="11"/>
      <c r="F29" s="11"/>
      <c r="G29" s="11"/>
      <c r="H29" s="16">
        <f>SUM(H26:H28)</f>
        <v>78.473890395626142</v>
      </c>
      <c r="I29" s="16">
        <f>SUM(I26:I28)</f>
        <v>46.563672100360961</v>
      </c>
      <c r="J29" s="16">
        <f>SUM(J26:J28)</f>
        <v>91.248709762355986</v>
      </c>
      <c r="L29" s="20">
        <f>J29/(3*$D$3)*1000</f>
        <v>131.70616786125564</v>
      </c>
      <c r="M29" s="21">
        <f>H29/J29</f>
        <v>0.86</v>
      </c>
      <c r="N29" s="30">
        <v>160</v>
      </c>
    </row>
    <row r="32" spans="2:21" ht="18.75">
      <c r="B32" s="12" t="s">
        <v>54</v>
      </c>
    </row>
    <row r="33" spans="2:14">
      <c r="D33" s="8" t="s">
        <v>37</v>
      </c>
      <c r="E33" s="22" t="s">
        <v>38</v>
      </c>
      <c r="F33" s="8" t="s">
        <v>15</v>
      </c>
      <c r="G33" s="8" t="s">
        <v>6</v>
      </c>
      <c r="H33" s="8" t="s">
        <v>39</v>
      </c>
      <c r="I33" s="8" t="s">
        <v>40</v>
      </c>
      <c r="J33" s="8" t="s">
        <v>41</v>
      </c>
      <c r="L33" s="18" t="s">
        <v>42</v>
      </c>
      <c r="M33" s="18" t="s">
        <v>15</v>
      </c>
      <c r="N33" s="18" t="s">
        <v>57</v>
      </c>
    </row>
    <row r="34" spans="2:14">
      <c r="D34" s="9">
        <v>75</v>
      </c>
      <c r="E34" s="9">
        <v>0.92</v>
      </c>
      <c r="F34" s="9">
        <v>0.87</v>
      </c>
      <c r="G34" s="9">
        <v>0.8</v>
      </c>
      <c r="H34" s="14">
        <f>D34/E34*G34</f>
        <v>65.217391304347828</v>
      </c>
      <c r="I34" s="14">
        <f>H34*TAN(ACOS(F34))</f>
        <v>36.960398907409441</v>
      </c>
      <c r="J34" s="17">
        <f t="shared" ref="J34" si="9">SQRT(H34^2+I34^2)</f>
        <v>74.96251874062969</v>
      </c>
      <c r="L34" s="20">
        <f>J34/(3*$D$3)*1000</f>
        <v>108.19907593508728</v>
      </c>
      <c r="M34" s="21">
        <f>H34/J34</f>
        <v>0.87</v>
      </c>
      <c r="N34" s="30">
        <v>125</v>
      </c>
    </row>
    <row r="37" spans="2:14" ht="18.75">
      <c r="B37" s="12" t="s">
        <v>55</v>
      </c>
    </row>
    <row r="38" spans="2:14">
      <c r="D38" s="8" t="s">
        <v>37</v>
      </c>
      <c r="E38" s="22" t="s">
        <v>38</v>
      </c>
      <c r="F38" s="8" t="s">
        <v>15</v>
      </c>
      <c r="G38" s="8" t="s">
        <v>6</v>
      </c>
      <c r="H38" s="8" t="s">
        <v>39</v>
      </c>
      <c r="I38" s="8" t="s">
        <v>40</v>
      </c>
      <c r="J38" s="8" t="s">
        <v>41</v>
      </c>
      <c r="L38" s="18" t="s">
        <v>42</v>
      </c>
      <c r="M38" s="18" t="s">
        <v>15</v>
      </c>
      <c r="N38" s="18" t="s">
        <v>57</v>
      </c>
    </row>
    <row r="39" spans="2:14">
      <c r="D39" s="9">
        <v>110</v>
      </c>
      <c r="E39" s="9">
        <v>0.93</v>
      </c>
      <c r="F39" s="9">
        <v>0.87</v>
      </c>
      <c r="G39" s="9">
        <v>1</v>
      </c>
      <c r="H39" s="14">
        <f>D39/E39*G39</f>
        <v>118.27956989247311</v>
      </c>
      <c r="I39" s="14">
        <v>0</v>
      </c>
      <c r="J39" s="17">
        <f t="shared" ref="J39" si="10">SQRT(H39^2+I39^2)</f>
        <v>118.27956989247311</v>
      </c>
      <c r="L39" s="20">
        <f>J39/(3*$D$3)*1000</f>
        <v>170.72185379263124</v>
      </c>
      <c r="M39" s="21">
        <f>H39/J39</f>
        <v>1</v>
      </c>
      <c r="N39" s="30">
        <v>200</v>
      </c>
    </row>
    <row r="41" spans="2:14" ht="18.75">
      <c r="B41" s="12" t="s">
        <v>56</v>
      </c>
    </row>
    <row r="42" spans="2:14">
      <c r="E42" s="8" t="s">
        <v>31</v>
      </c>
      <c r="F42" s="8" t="s">
        <v>7</v>
      </c>
      <c r="G42" s="8" t="s">
        <v>15</v>
      </c>
      <c r="H42" s="8" t="s">
        <v>39</v>
      </c>
      <c r="I42" s="8" t="s">
        <v>40</v>
      </c>
      <c r="J42" s="8" t="s">
        <v>41</v>
      </c>
      <c r="L42" s="18" t="s">
        <v>42</v>
      </c>
      <c r="M42" s="18" t="s">
        <v>15</v>
      </c>
      <c r="N42" s="18" t="s">
        <v>57</v>
      </c>
    </row>
    <row r="43" spans="2:14">
      <c r="E43" s="9">
        <v>340</v>
      </c>
      <c r="F43" s="9">
        <v>0.8</v>
      </c>
      <c r="G43" s="9">
        <v>0.8</v>
      </c>
      <c r="H43" s="14">
        <f>J43*G43</f>
        <v>217.60000000000002</v>
      </c>
      <c r="I43" s="14">
        <f>SQRT(J43^2-H43^2)</f>
        <v>163.19999999999996</v>
      </c>
      <c r="J43" s="17">
        <f>E43*F43</f>
        <v>272</v>
      </c>
      <c r="L43" s="20">
        <f>J43/SQRT(3)/$D$4*1000</f>
        <v>392.59818304894549</v>
      </c>
      <c r="M43" s="21">
        <f>H43/J43</f>
        <v>0.8</v>
      </c>
      <c r="N43" s="30">
        <v>400</v>
      </c>
    </row>
    <row r="45" spans="2:14" ht="18.75">
      <c r="B45" s="12" t="s">
        <v>61</v>
      </c>
    </row>
    <row r="47" spans="2:14">
      <c r="C47" s="11" t="s">
        <v>47</v>
      </c>
      <c r="D47" s="29" t="s">
        <v>48</v>
      </c>
      <c r="E47" s="31" t="s">
        <v>39</v>
      </c>
      <c r="F47" s="31" t="s">
        <v>50</v>
      </c>
      <c r="G47" s="31" t="s">
        <v>58</v>
      </c>
      <c r="H47" s="31" t="s">
        <v>64</v>
      </c>
      <c r="I47" s="31" t="s">
        <v>59</v>
      </c>
    </row>
    <row r="48" spans="2:14">
      <c r="C48" s="9" t="s">
        <v>18</v>
      </c>
      <c r="D48" s="28">
        <v>3</v>
      </c>
      <c r="E48" s="14">
        <f>L18</f>
        <v>63.083776975078877</v>
      </c>
      <c r="F48" s="14">
        <f>M18</f>
        <v>16.030555192601156</v>
      </c>
      <c r="G48" s="14">
        <f>N18</f>
        <v>65.088721121439491</v>
      </c>
      <c r="H48" s="14">
        <f>G48*1000/SQRT(3)/$D$4</f>
        <v>93.94747665167894</v>
      </c>
      <c r="I48" s="32">
        <v>100</v>
      </c>
    </row>
    <row r="49" spans="3:15">
      <c r="C49" s="9" t="s">
        <v>32</v>
      </c>
      <c r="D49" s="28">
        <v>4</v>
      </c>
      <c r="E49" s="14">
        <f>H29</f>
        <v>78.473890395626142</v>
      </c>
      <c r="F49" s="14">
        <f>I29</f>
        <v>46.563672100360961</v>
      </c>
      <c r="G49" s="14">
        <f>J29</f>
        <v>91.248709762355986</v>
      </c>
      <c r="H49" s="14">
        <f t="shared" ref="H49:H53" si="11">G49*1000/SQRT(3)/$D$4</f>
        <v>131.70616786125566</v>
      </c>
      <c r="I49" s="32">
        <v>160</v>
      </c>
    </row>
    <row r="50" spans="3:15">
      <c r="C50" s="9" t="s">
        <v>49</v>
      </c>
      <c r="D50" s="28">
        <v>5</v>
      </c>
      <c r="E50" s="14">
        <f>H34</f>
        <v>65.217391304347828</v>
      </c>
      <c r="F50" s="14">
        <f>I34</f>
        <v>36.960398907409441</v>
      </c>
      <c r="G50" s="14">
        <f>J34</f>
        <v>74.96251874062969</v>
      </c>
      <c r="H50" s="14">
        <f t="shared" si="11"/>
        <v>108.19907593508729</v>
      </c>
      <c r="I50" s="32">
        <v>125</v>
      </c>
    </row>
    <row r="51" spans="3:15">
      <c r="C51" s="9" t="s">
        <v>43</v>
      </c>
      <c r="D51" s="28">
        <v>6</v>
      </c>
      <c r="E51" s="14">
        <f>H39</f>
        <v>118.27956989247311</v>
      </c>
      <c r="F51" s="14">
        <f>I39</f>
        <v>0</v>
      </c>
      <c r="G51" s="14">
        <f>J39</f>
        <v>118.27956989247311</v>
      </c>
      <c r="H51" s="14">
        <f t="shared" si="11"/>
        <v>170.72185379263126</v>
      </c>
      <c r="I51" s="32">
        <v>200</v>
      </c>
    </row>
    <row r="52" spans="3:15">
      <c r="C52" s="9" t="s">
        <v>46</v>
      </c>
      <c r="D52" s="28">
        <v>7</v>
      </c>
      <c r="E52" s="14">
        <f>H43</f>
        <v>217.60000000000002</v>
      </c>
      <c r="F52" s="14">
        <f>I43</f>
        <v>163.19999999999996</v>
      </c>
      <c r="G52" s="14">
        <f>J43</f>
        <v>272</v>
      </c>
      <c r="H52" s="14">
        <f t="shared" si="11"/>
        <v>392.5981830489456</v>
      </c>
      <c r="I52" s="32">
        <v>400</v>
      </c>
      <c r="K52" s="34" t="s">
        <v>62</v>
      </c>
      <c r="L52" s="35" t="s">
        <v>63</v>
      </c>
      <c r="M52" s="35" t="s">
        <v>60</v>
      </c>
      <c r="N52" s="35" t="s">
        <v>196</v>
      </c>
      <c r="O52" s="18" t="s">
        <v>15</v>
      </c>
    </row>
    <row r="53" spans="3:15">
      <c r="C53" s="11" t="s">
        <v>51</v>
      </c>
      <c r="D53" s="29" t="s">
        <v>3</v>
      </c>
      <c r="E53" s="16">
        <f>SUM(E48:E52)</f>
        <v>542.65462856752595</v>
      </c>
      <c r="F53" s="16">
        <f>SUM(F48:F52)</f>
        <v>262.75462620037149</v>
      </c>
      <c r="G53" s="16">
        <f>SUM(G48:G52)</f>
        <v>621.57951951689824</v>
      </c>
      <c r="H53" s="16">
        <f t="shared" si="11"/>
        <v>897.17275728959862</v>
      </c>
      <c r="I53" s="33">
        <v>1000</v>
      </c>
      <c r="K53" s="36">
        <v>0.7</v>
      </c>
      <c r="L53" s="37">
        <f>G53/K53</f>
        <v>887.97074216699752</v>
      </c>
      <c r="M53" s="37">
        <v>1000</v>
      </c>
      <c r="N53" s="37">
        <f>L53*1000/(3*D3)</f>
        <v>1281.6753675565692</v>
      </c>
      <c r="O53" s="21">
        <f>E53/G53</f>
        <v>0.87302527114999862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I29"/>
  <sheetViews>
    <sheetView workbookViewId="0">
      <selection activeCell="A16" sqref="A16"/>
    </sheetView>
  </sheetViews>
  <sheetFormatPr defaultRowHeight="15"/>
  <cols>
    <col min="3" max="7" width="13.5703125" style="169" customWidth="1"/>
    <col min="8" max="8" width="13.5703125" style="5" customWidth="1"/>
    <col min="9" max="9" width="56.5703125" style="178" customWidth="1"/>
  </cols>
  <sheetData>
    <row r="2" spans="2:9" ht="18.75">
      <c r="B2" s="184" t="s">
        <v>381</v>
      </c>
    </row>
    <row r="3" spans="2:9" ht="15.75" thickBot="1"/>
    <row r="4" spans="2:9">
      <c r="C4" s="361" t="s">
        <v>382</v>
      </c>
      <c r="D4" s="182" t="s">
        <v>383</v>
      </c>
      <c r="E4" s="182" t="s">
        <v>385</v>
      </c>
      <c r="F4" s="182" t="s">
        <v>387</v>
      </c>
      <c r="G4" s="357" t="s">
        <v>389</v>
      </c>
      <c r="H4" s="357" t="s">
        <v>390</v>
      </c>
      <c r="I4" s="359" t="s">
        <v>391</v>
      </c>
    </row>
    <row r="5" spans="2:9" ht="30.75" thickBot="1">
      <c r="C5" s="362"/>
      <c r="D5" s="183" t="s">
        <v>384</v>
      </c>
      <c r="E5" s="183" t="s">
        <v>386</v>
      </c>
      <c r="F5" s="183" t="s">
        <v>388</v>
      </c>
      <c r="G5" s="358"/>
      <c r="H5" s="358"/>
      <c r="I5" s="360"/>
    </row>
    <row r="6" spans="2:9">
      <c r="C6" s="175">
        <v>1</v>
      </c>
      <c r="D6" s="363" t="s">
        <v>392</v>
      </c>
      <c r="E6" s="171" t="s">
        <v>86</v>
      </c>
      <c r="F6" s="171" t="s">
        <v>400</v>
      </c>
      <c r="G6" s="171" t="str">
        <f>"A"&amp;E6&amp;"X"</f>
        <v>AAX</v>
      </c>
      <c r="H6" s="171" t="str">
        <f>"A"&amp;E6&amp;"4"</f>
        <v>AA4</v>
      </c>
      <c r="I6" s="179" t="s">
        <v>256</v>
      </c>
    </row>
    <row r="7" spans="2:9">
      <c r="C7" s="176">
        <v>2</v>
      </c>
      <c r="D7" s="364"/>
      <c r="E7" s="170" t="s">
        <v>131</v>
      </c>
      <c r="F7" s="170" t="s">
        <v>400</v>
      </c>
      <c r="G7" s="170" t="str">
        <f t="shared" ref="G7:G29" si="0">"A"&amp;E7&amp;"X"</f>
        <v>ABX</v>
      </c>
      <c r="H7" s="170" t="str">
        <f>"A"&amp;E7&amp;"4"</f>
        <v>AB4</v>
      </c>
      <c r="I7" s="180" t="s">
        <v>430</v>
      </c>
    </row>
    <row r="8" spans="2:9">
      <c r="C8" s="176">
        <v>3</v>
      </c>
      <c r="D8" s="364"/>
      <c r="E8" s="170" t="s">
        <v>134</v>
      </c>
      <c r="F8" s="170" t="s">
        <v>401</v>
      </c>
      <c r="G8" s="170" t="str">
        <f t="shared" si="0"/>
        <v>ACX</v>
      </c>
      <c r="H8" s="170" t="str">
        <f t="shared" ref="H8:H22" si="1">"A"&amp;E8&amp;"1"</f>
        <v>AC1</v>
      </c>
      <c r="I8" s="180" t="s">
        <v>405</v>
      </c>
    </row>
    <row r="9" spans="2:9">
      <c r="C9" s="176">
        <v>4</v>
      </c>
      <c r="D9" s="364"/>
      <c r="E9" s="170" t="s">
        <v>107</v>
      </c>
      <c r="F9" s="170" t="s">
        <v>400</v>
      </c>
      <c r="G9" s="170" t="str">
        <f t="shared" si="0"/>
        <v>ADX</v>
      </c>
      <c r="H9" s="170" t="str">
        <f t="shared" si="1"/>
        <v>AD1</v>
      </c>
      <c r="I9" s="180" t="s">
        <v>429</v>
      </c>
    </row>
    <row r="10" spans="2:9">
      <c r="C10" s="176">
        <v>5</v>
      </c>
      <c r="D10" s="364"/>
      <c r="E10" s="170" t="s">
        <v>135</v>
      </c>
      <c r="F10" s="170" t="s">
        <v>402</v>
      </c>
      <c r="G10" s="170" t="str">
        <f t="shared" si="0"/>
        <v>AEX</v>
      </c>
      <c r="H10" s="170" t="str">
        <f t="shared" si="1"/>
        <v>AE1</v>
      </c>
      <c r="I10" s="180" t="s">
        <v>427</v>
      </c>
    </row>
    <row r="11" spans="2:9">
      <c r="C11" s="176">
        <v>6</v>
      </c>
      <c r="D11" s="364"/>
      <c r="E11" s="170" t="s">
        <v>136</v>
      </c>
      <c r="F11" s="170" t="s">
        <v>403</v>
      </c>
      <c r="G11" s="170" t="str">
        <f t="shared" si="0"/>
        <v>AFX</v>
      </c>
      <c r="H11" s="170" t="str">
        <f t="shared" si="1"/>
        <v>AF1</v>
      </c>
      <c r="I11" s="180" t="s">
        <v>428</v>
      </c>
    </row>
    <row r="12" spans="2:9">
      <c r="C12" s="176">
        <v>7</v>
      </c>
      <c r="D12" s="364"/>
      <c r="E12" s="170" t="s">
        <v>137</v>
      </c>
      <c r="F12" s="170" t="s">
        <v>404</v>
      </c>
      <c r="G12" s="170" t="str">
        <f t="shared" si="0"/>
        <v>AGX</v>
      </c>
      <c r="H12" s="170" t="str">
        <f t="shared" si="1"/>
        <v>AG1</v>
      </c>
      <c r="I12" s="180" t="s">
        <v>406</v>
      </c>
    </row>
    <row r="13" spans="2:9">
      <c r="C13" s="176">
        <v>8</v>
      </c>
      <c r="D13" s="364"/>
      <c r="E13" s="170" t="s">
        <v>393</v>
      </c>
      <c r="F13" s="170" t="s">
        <v>404</v>
      </c>
      <c r="G13" s="170" t="str">
        <f t="shared" si="0"/>
        <v>AHX</v>
      </c>
      <c r="H13" s="170" t="str">
        <f t="shared" si="1"/>
        <v>AH1</v>
      </c>
      <c r="I13" s="180" t="s">
        <v>407</v>
      </c>
    </row>
    <row r="14" spans="2:9">
      <c r="C14" s="176">
        <v>9</v>
      </c>
      <c r="D14" s="364"/>
      <c r="E14" s="170" t="s">
        <v>394</v>
      </c>
      <c r="F14" s="170">
        <v>1</v>
      </c>
      <c r="G14" s="170" t="str">
        <f t="shared" si="0"/>
        <v>AJX</v>
      </c>
      <c r="H14" s="170" t="str">
        <f t="shared" si="1"/>
        <v>AJ1</v>
      </c>
      <c r="I14" s="180" t="s">
        <v>408</v>
      </c>
    </row>
    <row r="15" spans="2:9">
      <c r="C15" s="176">
        <v>10</v>
      </c>
      <c r="D15" s="364"/>
      <c r="E15" s="170" t="s">
        <v>395</v>
      </c>
      <c r="F15" s="170" t="s">
        <v>401</v>
      </c>
      <c r="G15" s="170" t="str">
        <f t="shared" si="0"/>
        <v>AKX</v>
      </c>
      <c r="H15" s="170" t="str">
        <f t="shared" si="1"/>
        <v>AK1</v>
      </c>
      <c r="I15" s="180" t="s">
        <v>409</v>
      </c>
    </row>
    <row r="16" spans="2:9">
      <c r="C16" s="176">
        <v>11</v>
      </c>
      <c r="D16" s="364"/>
      <c r="E16" s="170" t="s">
        <v>74</v>
      </c>
      <c r="F16" s="170" t="s">
        <v>401</v>
      </c>
      <c r="G16" s="170" t="str">
        <f t="shared" si="0"/>
        <v>ALX</v>
      </c>
      <c r="H16" s="170" t="str">
        <f t="shared" si="1"/>
        <v>AL1</v>
      </c>
      <c r="I16" s="180" t="s">
        <v>411</v>
      </c>
    </row>
    <row r="17" spans="3:9">
      <c r="C17" s="176">
        <v>12</v>
      </c>
      <c r="D17" s="364"/>
      <c r="E17" s="170" t="s">
        <v>396</v>
      </c>
      <c r="F17" s="170" t="s">
        <v>402</v>
      </c>
      <c r="G17" s="170" t="str">
        <f t="shared" si="0"/>
        <v>AMX</v>
      </c>
      <c r="H17" s="170" t="str">
        <f t="shared" si="1"/>
        <v>AM1</v>
      </c>
      <c r="I17" s="180" t="s">
        <v>410</v>
      </c>
    </row>
    <row r="18" spans="3:9">
      <c r="C18" s="176">
        <v>13</v>
      </c>
      <c r="D18" s="364"/>
      <c r="E18" s="170" t="s">
        <v>0</v>
      </c>
      <c r="F18" s="170" t="s">
        <v>404</v>
      </c>
      <c r="G18" s="170" t="str">
        <f t="shared" si="0"/>
        <v>ANX</v>
      </c>
      <c r="H18" s="170" t="str">
        <f t="shared" si="1"/>
        <v>AN1</v>
      </c>
      <c r="I18" s="180" t="s">
        <v>412</v>
      </c>
    </row>
    <row r="19" spans="3:9">
      <c r="C19" s="176">
        <v>14</v>
      </c>
      <c r="D19" s="364"/>
      <c r="E19" s="170" t="s">
        <v>397</v>
      </c>
      <c r="F19" s="170" t="s">
        <v>403</v>
      </c>
      <c r="G19" s="170" t="str">
        <f t="shared" si="0"/>
        <v>APX</v>
      </c>
      <c r="H19" s="170" t="str">
        <f t="shared" si="1"/>
        <v>AP1</v>
      </c>
      <c r="I19" s="180" t="s">
        <v>413</v>
      </c>
    </row>
    <row r="20" spans="3:9">
      <c r="C20" s="176">
        <v>15</v>
      </c>
      <c r="D20" s="364"/>
      <c r="E20" s="170" t="s">
        <v>398</v>
      </c>
      <c r="F20" s="170" t="s">
        <v>404</v>
      </c>
      <c r="G20" s="170" t="str">
        <f t="shared" si="0"/>
        <v>AQX</v>
      </c>
      <c r="H20" s="170" t="str">
        <f t="shared" si="1"/>
        <v>AQ1</v>
      </c>
      <c r="I20" s="180" t="s">
        <v>414</v>
      </c>
    </row>
    <row r="21" spans="3:9">
      <c r="C21" s="176">
        <v>16</v>
      </c>
      <c r="D21" s="364"/>
      <c r="E21" s="170" t="s">
        <v>399</v>
      </c>
      <c r="F21" s="170" t="s">
        <v>404</v>
      </c>
      <c r="G21" s="170" t="str">
        <f t="shared" si="0"/>
        <v>ARX</v>
      </c>
      <c r="H21" s="170" t="str">
        <f t="shared" si="1"/>
        <v>AR1</v>
      </c>
      <c r="I21" s="180" t="s">
        <v>415</v>
      </c>
    </row>
    <row r="22" spans="3:9" ht="15.75" thickBot="1">
      <c r="C22" s="177">
        <v>17</v>
      </c>
      <c r="D22" s="365"/>
      <c r="E22" s="172" t="s">
        <v>78</v>
      </c>
      <c r="F22" s="172" t="s">
        <v>404</v>
      </c>
      <c r="G22" s="172" t="str">
        <f t="shared" si="0"/>
        <v>ASX</v>
      </c>
      <c r="H22" s="172" t="str">
        <f t="shared" si="1"/>
        <v>AS1</v>
      </c>
      <c r="I22" s="181" t="s">
        <v>416</v>
      </c>
    </row>
    <row r="23" spans="3:9">
      <c r="C23" s="175">
        <v>18</v>
      </c>
      <c r="D23" s="355" t="s">
        <v>417</v>
      </c>
      <c r="E23" s="171" t="s">
        <v>86</v>
      </c>
      <c r="F23" s="171" t="s">
        <v>418</v>
      </c>
      <c r="G23" s="171" t="str">
        <f>"B"&amp;E23&amp;"X"</f>
        <v>BAX</v>
      </c>
      <c r="H23" s="173" t="str">
        <f>"B"&amp;E23&amp;"1"</f>
        <v>BA1</v>
      </c>
      <c r="I23" s="179" t="s">
        <v>419</v>
      </c>
    </row>
    <row r="24" spans="3:9">
      <c r="C24" s="176">
        <v>19</v>
      </c>
      <c r="D24" s="366"/>
      <c r="E24" s="170" t="s">
        <v>131</v>
      </c>
      <c r="F24" s="170" t="s">
        <v>404</v>
      </c>
      <c r="G24" s="170" t="str">
        <f>"B"&amp;E24&amp;"X"</f>
        <v>BBX</v>
      </c>
      <c r="H24" s="28" t="str">
        <f t="shared" ref="H24:H29" si="2">"B"&amp;E24&amp;"1"</f>
        <v>BB1</v>
      </c>
      <c r="I24" s="180" t="s">
        <v>420</v>
      </c>
    </row>
    <row r="25" spans="3:9">
      <c r="C25" s="176">
        <v>20</v>
      </c>
      <c r="D25" s="366"/>
      <c r="E25" s="170" t="s">
        <v>134</v>
      </c>
      <c r="F25" s="170" t="s">
        <v>403</v>
      </c>
      <c r="G25" s="170" t="str">
        <f t="shared" ref="G25:G26" si="3">"B"&amp;E25&amp;"X"</f>
        <v>BCX</v>
      </c>
      <c r="H25" s="28" t="str">
        <f>"B"&amp;E25&amp;"2"</f>
        <v>BC2</v>
      </c>
      <c r="I25" s="180" t="s">
        <v>421</v>
      </c>
    </row>
    <row r="26" spans="3:9">
      <c r="C26" s="176">
        <v>21</v>
      </c>
      <c r="D26" s="366"/>
      <c r="E26" s="170" t="s">
        <v>107</v>
      </c>
      <c r="F26" s="170" t="s">
        <v>403</v>
      </c>
      <c r="G26" s="170" t="str">
        <f t="shared" si="3"/>
        <v>BDX</v>
      </c>
      <c r="H26" s="28" t="str">
        <f t="shared" si="2"/>
        <v>BD1</v>
      </c>
      <c r="I26" s="180" t="s">
        <v>422</v>
      </c>
    </row>
    <row r="27" spans="3:9" ht="15.75" thickBot="1">
      <c r="C27" s="177">
        <v>22</v>
      </c>
      <c r="D27" s="356"/>
      <c r="E27" s="172" t="s">
        <v>135</v>
      </c>
      <c r="F27" s="172" t="s">
        <v>403</v>
      </c>
      <c r="G27" s="172" t="str">
        <f>"B"&amp;E27&amp;"X"</f>
        <v>BEX</v>
      </c>
      <c r="H27" s="174" t="str">
        <f t="shared" si="2"/>
        <v>BE1</v>
      </c>
      <c r="I27" s="181" t="s">
        <v>423</v>
      </c>
    </row>
    <row r="28" spans="3:9" ht="23.25" customHeight="1">
      <c r="C28" s="175">
        <v>23</v>
      </c>
      <c r="D28" s="355" t="s">
        <v>424</v>
      </c>
      <c r="E28" s="171" t="s">
        <v>86</v>
      </c>
      <c r="F28" s="171" t="s">
        <v>401</v>
      </c>
      <c r="G28" s="171" t="str">
        <f t="shared" si="0"/>
        <v>AAX</v>
      </c>
      <c r="H28" s="173" t="str">
        <f t="shared" si="2"/>
        <v>BA1</v>
      </c>
      <c r="I28" s="179" t="s">
        <v>425</v>
      </c>
    </row>
    <row r="29" spans="3:9" ht="23.25" customHeight="1" thickBot="1">
      <c r="C29" s="177">
        <v>24</v>
      </c>
      <c r="D29" s="356"/>
      <c r="E29" s="172" t="s">
        <v>131</v>
      </c>
      <c r="F29" s="172" t="s">
        <v>403</v>
      </c>
      <c r="G29" s="172" t="str">
        <f t="shared" si="0"/>
        <v>ABX</v>
      </c>
      <c r="H29" s="174" t="str">
        <f t="shared" si="2"/>
        <v>BB1</v>
      </c>
      <c r="I29" s="181" t="s">
        <v>426</v>
      </c>
    </row>
  </sheetData>
  <mergeCells count="7">
    <mergeCell ref="D28:D29"/>
    <mergeCell ref="G4:G5"/>
    <mergeCell ref="H4:H5"/>
    <mergeCell ref="I4:I5"/>
    <mergeCell ref="C4:C5"/>
    <mergeCell ref="D6:D22"/>
    <mergeCell ref="D23:D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3:H36"/>
  <sheetViews>
    <sheetView workbookViewId="0"/>
  </sheetViews>
  <sheetFormatPr defaultRowHeight="15"/>
  <cols>
    <col min="3" max="3" width="15.5703125" style="169" bestFit="1" customWidth="1"/>
    <col min="4" max="4" width="27.140625" bestFit="1" customWidth="1"/>
    <col min="5" max="5" width="53.7109375" bestFit="1" customWidth="1"/>
    <col min="6" max="7" width="9.140625" style="169"/>
  </cols>
  <sheetData>
    <row r="3" spans="2:8" ht="18.75">
      <c r="B3" s="184" t="s">
        <v>431</v>
      </c>
      <c r="D3" s="169"/>
      <c r="E3" s="169"/>
      <c r="H3" s="178"/>
    </row>
    <row r="4" spans="2:8">
      <c r="D4" s="169"/>
      <c r="E4" s="169"/>
      <c r="H4" s="178"/>
    </row>
    <row r="5" spans="2:8" ht="18.75">
      <c r="C5" s="185" t="s">
        <v>432</v>
      </c>
      <c r="D5" s="186" t="s">
        <v>433</v>
      </c>
      <c r="E5" s="187" t="s">
        <v>434</v>
      </c>
      <c r="F5" s="185" t="s">
        <v>436</v>
      </c>
      <c r="G5" s="185" t="s">
        <v>437</v>
      </c>
      <c r="H5" s="178"/>
    </row>
    <row r="6" spans="2:8">
      <c r="C6" s="367" t="s">
        <v>438</v>
      </c>
      <c r="D6" s="170" t="s">
        <v>439</v>
      </c>
      <c r="E6" s="9" t="s">
        <v>455</v>
      </c>
      <c r="F6" s="170" t="s">
        <v>456</v>
      </c>
      <c r="G6" s="221" t="s">
        <v>615</v>
      </c>
    </row>
    <row r="7" spans="2:8" s="47" customFormat="1">
      <c r="C7" s="367"/>
      <c r="D7" s="170" t="s">
        <v>444</v>
      </c>
      <c r="E7" s="9" t="s">
        <v>455</v>
      </c>
      <c r="F7" s="170" t="s">
        <v>456</v>
      </c>
      <c r="G7" s="221" t="s">
        <v>615</v>
      </c>
    </row>
    <row r="8" spans="2:8">
      <c r="C8" s="367"/>
      <c r="D8" s="170" t="s">
        <v>445</v>
      </c>
      <c r="E8" s="9" t="s">
        <v>455</v>
      </c>
      <c r="F8" s="170" t="s">
        <v>456</v>
      </c>
      <c r="G8" s="221" t="s">
        <v>615</v>
      </c>
      <c r="H8" s="178"/>
    </row>
    <row r="9" spans="2:8">
      <c r="C9" s="367"/>
      <c r="D9" s="170" t="s">
        <v>446</v>
      </c>
      <c r="E9" s="9" t="s">
        <v>468</v>
      </c>
      <c r="F9" s="170" t="s">
        <v>463</v>
      </c>
      <c r="G9" s="221" t="s">
        <v>615</v>
      </c>
    </row>
    <row r="10" spans="2:8">
      <c r="C10" s="367"/>
      <c r="D10" s="170" t="s">
        <v>447</v>
      </c>
      <c r="E10" s="9" t="s">
        <v>455</v>
      </c>
      <c r="F10" s="170" t="s">
        <v>456</v>
      </c>
      <c r="G10" s="221" t="s">
        <v>615</v>
      </c>
    </row>
    <row r="11" spans="2:8">
      <c r="C11" s="367"/>
      <c r="D11" s="170" t="s">
        <v>448</v>
      </c>
      <c r="E11" s="9" t="s">
        <v>455</v>
      </c>
      <c r="F11" s="170" t="s">
        <v>456</v>
      </c>
      <c r="G11" s="221" t="s">
        <v>615</v>
      </c>
    </row>
    <row r="12" spans="2:8">
      <c r="C12" s="367"/>
      <c r="D12" s="170" t="s">
        <v>449</v>
      </c>
      <c r="E12" s="9" t="s">
        <v>469</v>
      </c>
      <c r="F12" s="170" t="s">
        <v>465</v>
      </c>
      <c r="G12" s="221" t="s">
        <v>615</v>
      </c>
    </row>
    <row r="13" spans="2:8">
      <c r="C13" s="367"/>
      <c r="D13" s="170" t="s">
        <v>440</v>
      </c>
      <c r="E13" s="9" t="s">
        <v>455</v>
      </c>
      <c r="F13" s="170" t="s">
        <v>456</v>
      </c>
      <c r="G13" s="221" t="s">
        <v>615</v>
      </c>
    </row>
    <row r="14" spans="2:8">
      <c r="C14" s="367"/>
      <c r="D14" s="170" t="s">
        <v>459</v>
      </c>
      <c r="E14" s="9" t="s">
        <v>470</v>
      </c>
      <c r="F14" s="170" t="s">
        <v>466</v>
      </c>
      <c r="G14" s="221" t="s">
        <v>615</v>
      </c>
    </row>
    <row r="15" spans="2:8" s="47" customFormat="1">
      <c r="C15" s="367"/>
      <c r="D15" s="170" t="s">
        <v>460</v>
      </c>
      <c r="E15" s="9" t="s">
        <v>471</v>
      </c>
      <c r="F15" s="170" t="s">
        <v>467</v>
      </c>
      <c r="G15" s="221" t="s">
        <v>615</v>
      </c>
    </row>
    <row r="16" spans="2:8" s="47" customFormat="1">
      <c r="C16" s="367"/>
      <c r="D16" s="170" t="s">
        <v>461</v>
      </c>
      <c r="E16" s="9" t="s">
        <v>472</v>
      </c>
      <c r="F16" s="170" t="s">
        <v>464</v>
      </c>
      <c r="G16" s="221" t="s">
        <v>615</v>
      </c>
    </row>
    <row r="17" spans="3:7" s="47" customFormat="1">
      <c r="C17" s="367"/>
      <c r="D17" s="170" t="s">
        <v>462</v>
      </c>
      <c r="E17" s="9" t="s">
        <v>473</v>
      </c>
      <c r="F17" s="170" t="s">
        <v>463</v>
      </c>
      <c r="G17" s="221" t="s">
        <v>615</v>
      </c>
    </row>
    <row r="18" spans="3:7" s="47" customFormat="1">
      <c r="C18" s="367"/>
      <c r="D18" s="170" t="s">
        <v>477</v>
      </c>
      <c r="E18" s="9" t="s">
        <v>478</v>
      </c>
      <c r="F18" s="170" t="s">
        <v>476</v>
      </c>
      <c r="G18" s="221" t="s">
        <v>615</v>
      </c>
    </row>
    <row r="19" spans="3:7" s="47" customFormat="1">
      <c r="C19" s="367"/>
      <c r="D19" s="170" t="s">
        <v>457</v>
      </c>
      <c r="E19" s="9" t="s">
        <v>474</v>
      </c>
      <c r="F19" s="170" t="s">
        <v>464</v>
      </c>
      <c r="G19" s="221" t="s">
        <v>615</v>
      </c>
    </row>
    <row r="20" spans="3:7">
      <c r="C20" s="367"/>
      <c r="D20" s="170" t="s">
        <v>458</v>
      </c>
      <c r="E20" s="9" t="s">
        <v>475</v>
      </c>
      <c r="F20" s="170" t="s">
        <v>476</v>
      </c>
      <c r="G20" s="221" t="s">
        <v>615</v>
      </c>
    </row>
    <row r="21" spans="3:7">
      <c r="C21" s="367" t="s">
        <v>441</v>
      </c>
      <c r="D21" s="170" t="s">
        <v>450</v>
      </c>
      <c r="E21" s="9" t="s">
        <v>480</v>
      </c>
      <c r="F21" s="170" t="s">
        <v>479</v>
      </c>
      <c r="G21" s="195" t="s">
        <v>481</v>
      </c>
    </row>
    <row r="22" spans="3:7" s="47" customFormat="1">
      <c r="C22" s="367"/>
      <c r="D22" s="170" t="s">
        <v>451</v>
      </c>
      <c r="E22" s="9" t="s">
        <v>480</v>
      </c>
      <c r="F22" s="170" t="s">
        <v>479</v>
      </c>
      <c r="G22" s="170" t="s">
        <v>481</v>
      </c>
    </row>
    <row r="23" spans="3:7">
      <c r="C23" s="367"/>
      <c r="D23" s="170" t="s">
        <v>452</v>
      </c>
      <c r="E23" s="9" t="s">
        <v>482</v>
      </c>
      <c r="F23" s="170" t="s">
        <v>483</v>
      </c>
      <c r="G23" s="221" t="s">
        <v>615</v>
      </c>
    </row>
    <row r="24" spans="3:7">
      <c r="C24" s="367"/>
      <c r="D24" s="170" t="s">
        <v>442</v>
      </c>
      <c r="E24" s="9" t="s">
        <v>484</v>
      </c>
      <c r="F24" s="170" t="s">
        <v>456</v>
      </c>
      <c r="G24" s="221" t="s">
        <v>615</v>
      </c>
    </row>
    <row r="25" spans="3:7">
      <c r="C25" s="367"/>
      <c r="D25" s="170" t="s">
        <v>453</v>
      </c>
      <c r="E25" s="9" t="s">
        <v>485</v>
      </c>
      <c r="F25" s="170" t="s">
        <v>456</v>
      </c>
      <c r="G25" s="170" t="s">
        <v>486</v>
      </c>
    </row>
    <row r="26" spans="3:7">
      <c r="C26" s="367"/>
      <c r="D26" s="170" t="s">
        <v>454</v>
      </c>
      <c r="E26" s="9" t="s">
        <v>487</v>
      </c>
      <c r="F26" s="170" t="s">
        <v>463</v>
      </c>
      <c r="G26" s="221" t="s">
        <v>615</v>
      </c>
    </row>
    <row r="27" spans="3:7" s="47" customFormat="1">
      <c r="C27" s="367"/>
      <c r="D27" s="170" t="s">
        <v>488</v>
      </c>
      <c r="E27" s="9" t="s">
        <v>470</v>
      </c>
      <c r="F27" s="170" t="s">
        <v>466</v>
      </c>
      <c r="G27" s="221" t="s">
        <v>615</v>
      </c>
    </row>
    <row r="28" spans="3:7" s="47" customFormat="1">
      <c r="C28" s="367"/>
      <c r="D28" s="170" t="s">
        <v>489</v>
      </c>
      <c r="E28" s="9" t="s">
        <v>471</v>
      </c>
      <c r="F28" s="170" t="s">
        <v>467</v>
      </c>
      <c r="G28" s="221" t="s">
        <v>615</v>
      </c>
    </row>
    <row r="29" spans="3:7" s="47" customFormat="1">
      <c r="C29" s="367"/>
      <c r="D29" s="170" t="s">
        <v>490</v>
      </c>
      <c r="E29" s="9" t="s">
        <v>472</v>
      </c>
      <c r="F29" s="170" t="s">
        <v>464</v>
      </c>
      <c r="G29" s="221" t="s">
        <v>615</v>
      </c>
    </row>
    <row r="30" spans="3:7">
      <c r="C30" s="367"/>
      <c r="D30" s="170" t="s">
        <v>491</v>
      </c>
      <c r="E30" s="9" t="s">
        <v>473</v>
      </c>
      <c r="F30" s="170" t="s">
        <v>463</v>
      </c>
      <c r="G30" s="221" t="s">
        <v>615</v>
      </c>
    </row>
    <row r="31" spans="3:7">
      <c r="C31" s="368" t="s">
        <v>435</v>
      </c>
      <c r="D31" s="170" t="s">
        <v>499</v>
      </c>
      <c r="E31" s="9" t="s">
        <v>495</v>
      </c>
      <c r="F31" s="170" t="s">
        <v>496</v>
      </c>
      <c r="G31" s="221" t="s">
        <v>615</v>
      </c>
    </row>
    <row r="32" spans="3:7" s="47" customFormat="1">
      <c r="C32" s="369"/>
      <c r="D32" s="170" t="s">
        <v>500</v>
      </c>
      <c r="E32" s="9" t="s">
        <v>497</v>
      </c>
      <c r="F32" s="170" t="s">
        <v>467</v>
      </c>
      <c r="G32" s="221" t="s">
        <v>615</v>
      </c>
    </row>
    <row r="33" spans="3:7" s="47" customFormat="1">
      <c r="C33" s="370"/>
      <c r="D33" s="170" t="s">
        <v>501</v>
      </c>
      <c r="E33" s="9" t="s">
        <v>498</v>
      </c>
      <c r="F33" s="170" t="s">
        <v>464</v>
      </c>
      <c r="G33" s="221" t="s">
        <v>615</v>
      </c>
    </row>
    <row r="34" spans="3:7" s="47" customFormat="1">
      <c r="C34" s="368" t="s">
        <v>443</v>
      </c>
      <c r="D34" s="170" t="s">
        <v>492</v>
      </c>
      <c r="E34" s="9" t="s">
        <v>495</v>
      </c>
      <c r="F34" s="170" t="s">
        <v>496</v>
      </c>
      <c r="G34" s="221" t="s">
        <v>615</v>
      </c>
    </row>
    <row r="35" spans="3:7" s="47" customFormat="1">
      <c r="C35" s="369"/>
      <c r="D35" s="170" t="s">
        <v>493</v>
      </c>
      <c r="E35" s="9" t="s">
        <v>497</v>
      </c>
      <c r="F35" s="170" t="s">
        <v>467</v>
      </c>
      <c r="G35" s="221" t="s">
        <v>615</v>
      </c>
    </row>
    <row r="36" spans="3:7">
      <c r="C36" s="370"/>
      <c r="D36" s="170" t="s">
        <v>494</v>
      </c>
      <c r="E36" s="9" t="s">
        <v>498</v>
      </c>
      <c r="F36" s="170" t="s">
        <v>464</v>
      </c>
      <c r="G36" s="221" t="s">
        <v>615</v>
      </c>
    </row>
  </sheetData>
  <mergeCells count="4">
    <mergeCell ref="C6:C20"/>
    <mergeCell ref="C21:C30"/>
    <mergeCell ref="C34:C36"/>
    <mergeCell ref="C31:C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3:X98"/>
  <sheetViews>
    <sheetView zoomScaleNormal="100" workbookViewId="0">
      <selection activeCell="O14" sqref="O14:O15"/>
    </sheetView>
  </sheetViews>
  <sheetFormatPr defaultRowHeight="15"/>
  <cols>
    <col min="1" max="1" width="4.140625" customWidth="1"/>
    <col min="3" max="3" width="39.140625" bestFit="1" customWidth="1"/>
    <col min="4" max="4" width="11.5703125" bestFit="1" customWidth="1"/>
    <col min="5" max="13" width="9" customWidth="1"/>
    <col min="14" max="14" width="9" style="47" customWidth="1"/>
    <col min="15" max="15" width="9" style="5" customWidth="1"/>
    <col min="16" max="16" width="9" customWidth="1"/>
    <col min="19" max="21" width="9.140625" style="47"/>
  </cols>
  <sheetData>
    <row r="3" spans="2:14" ht="15.75">
      <c r="B3" s="43" t="s">
        <v>91</v>
      </c>
    </row>
    <row r="8" spans="2:14">
      <c r="C8" s="11" t="s">
        <v>68</v>
      </c>
      <c r="D8" s="29" t="s">
        <v>65</v>
      </c>
      <c r="E8" s="29" t="s">
        <v>23</v>
      </c>
      <c r="F8" s="41">
        <f>F11*(F12*F13/F14*F15+F16/1000*F13*SIN(ACOS(F15)))*F17</f>
        <v>6.6740771781662334</v>
      </c>
    </row>
    <row r="9" spans="2:14">
      <c r="C9" s="11" t="s">
        <v>68</v>
      </c>
      <c r="D9" s="29" t="s">
        <v>92</v>
      </c>
      <c r="E9" s="29" t="s">
        <v>93</v>
      </c>
      <c r="F9" s="42">
        <f>F8/F10</f>
        <v>2.9017726861592319E-2</v>
      </c>
      <c r="I9" s="2"/>
      <c r="J9" s="2"/>
      <c r="K9" s="2"/>
      <c r="L9" s="2"/>
      <c r="M9" s="6" t="s">
        <v>66</v>
      </c>
      <c r="N9" s="129"/>
    </row>
    <row r="10" spans="2:14">
      <c r="C10" s="9" t="s">
        <v>97</v>
      </c>
      <c r="D10" s="28" t="s">
        <v>98</v>
      </c>
      <c r="E10" s="28" t="s">
        <v>23</v>
      </c>
      <c r="F10" s="9">
        <v>230</v>
      </c>
      <c r="I10" s="2"/>
      <c r="J10" s="2"/>
      <c r="K10" s="2"/>
      <c r="L10" s="3" t="s">
        <v>87</v>
      </c>
      <c r="M10" s="6">
        <v>1</v>
      </c>
      <c r="N10" s="129"/>
    </row>
    <row r="11" spans="2:14">
      <c r="C11" s="9" t="s">
        <v>69</v>
      </c>
      <c r="D11" s="28" t="s">
        <v>66</v>
      </c>
      <c r="E11" s="28" t="s">
        <v>67</v>
      </c>
      <c r="F11" s="9">
        <v>1</v>
      </c>
      <c r="I11" s="2"/>
      <c r="J11" s="2"/>
      <c r="K11" s="2"/>
      <c r="L11" s="3" t="s">
        <v>88</v>
      </c>
      <c r="M11" s="6">
        <v>2</v>
      </c>
      <c r="N11" s="129"/>
    </row>
    <row r="12" spans="2:14">
      <c r="C12" s="9" t="s">
        <v>71</v>
      </c>
      <c r="D12" s="39" t="s">
        <v>70</v>
      </c>
      <c r="E12" s="40" t="s">
        <v>72</v>
      </c>
      <c r="F12" s="9">
        <v>2.2499999999999999E-2</v>
      </c>
      <c r="J12" s="1"/>
      <c r="N12" s="26"/>
    </row>
    <row r="13" spans="2:14">
      <c r="C13" s="9" t="s">
        <v>73</v>
      </c>
      <c r="D13" s="28" t="s">
        <v>74</v>
      </c>
      <c r="E13" s="40" t="s">
        <v>75</v>
      </c>
      <c r="F13" s="9">
        <v>75</v>
      </c>
      <c r="L13" s="2"/>
      <c r="M13" s="45" t="s">
        <v>70</v>
      </c>
      <c r="N13" s="130"/>
    </row>
    <row r="14" spans="2:14">
      <c r="C14" s="9" t="s">
        <v>76</v>
      </c>
      <c r="D14" s="28" t="s">
        <v>78</v>
      </c>
      <c r="E14" s="28" t="s">
        <v>77</v>
      </c>
      <c r="F14" s="9">
        <v>25</v>
      </c>
      <c r="L14" s="3" t="s">
        <v>89</v>
      </c>
      <c r="M14" s="2">
        <v>2.2499999999999999E-2</v>
      </c>
      <c r="N14" s="26"/>
    </row>
    <row r="15" spans="2:14">
      <c r="C15" s="9" t="s">
        <v>79</v>
      </c>
      <c r="D15" s="28" t="s">
        <v>80</v>
      </c>
      <c r="E15" s="28" t="s">
        <v>3</v>
      </c>
      <c r="F15" s="14">
        <f>'11'!M34</f>
        <v>0.87</v>
      </c>
      <c r="L15" s="3" t="s">
        <v>90</v>
      </c>
      <c r="M15" s="46">
        <v>3.5999999999999997E-2</v>
      </c>
      <c r="N15" s="131"/>
    </row>
    <row r="16" spans="2:14">
      <c r="C16" s="9" t="s">
        <v>81</v>
      </c>
      <c r="D16" s="39" t="s">
        <v>82</v>
      </c>
      <c r="E16" s="28" t="s">
        <v>83</v>
      </c>
      <c r="F16" s="9">
        <v>0.08</v>
      </c>
      <c r="N16" s="26"/>
    </row>
    <row r="17" spans="2:15">
      <c r="C17" s="9" t="s">
        <v>84</v>
      </c>
      <c r="D17" s="28" t="s">
        <v>85</v>
      </c>
      <c r="E17" s="28" t="s">
        <v>86</v>
      </c>
      <c r="F17" s="15">
        <f>'11'!L34</f>
        <v>108.19907593508728</v>
      </c>
      <c r="J17" s="2" t="s">
        <v>99</v>
      </c>
      <c r="K17" s="2"/>
      <c r="L17" s="2" t="s">
        <v>14</v>
      </c>
      <c r="M17" s="2" t="s">
        <v>94</v>
      </c>
      <c r="N17" s="26"/>
    </row>
    <row r="18" spans="2:15">
      <c r="J18" s="2"/>
      <c r="K18" s="3" t="s">
        <v>95</v>
      </c>
      <c r="L18" s="44">
        <v>0.03</v>
      </c>
      <c r="M18" s="44">
        <v>0.05</v>
      </c>
      <c r="N18" s="132"/>
    </row>
    <row r="19" spans="2:15">
      <c r="J19" s="2"/>
      <c r="K19" s="3" t="s">
        <v>96</v>
      </c>
      <c r="L19" s="44">
        <v>0.06</v>
      </c>
      <c r="M19" s="44">
        <v>0.08</v>
      </c>
      <c r="N19" s="132"/>
    </row>
    <row r="26" spans="2:15" ht="15.75">
      <c r="B26" s="43" t="s">
        <v>165</v>
      </c>
      <c r="F26" s="5"/>
    </row>
    <row r="27" spans="2:15">
      <c r="F27" s="5"/>
    </row>
    <row r="28" spans="2:15">
      <c r="C28" t="s">
        <v>100</v>
      </c>
      <c r="F28" s="5"/>
    </row>
    <row r="29" spans="2:15">
      <c r="C29" t="s">
        <v>101</v>
      </c>
      <c r="F29" s="5"/>
    </row>
    <row r="30" spans="2:15">
      <c r="F30" s="5"/>
      <c r="M30" s="48" t="s">
        <v>143</v>
      </c>
      <c r="N30" s="48"/>
      <c r="O30" s="48" t="s">
        <v>57</v>
      </c>
    </row>
    <row r="31" spans="2:15">
      <c r="C31" t="s">
        <v>102</v>
      </c>
      <c r="D31" s="5" t="s">
        <v>3</v>
      </c>
      <c r="E31" s="5"/>
      <c r="F31" s="51" t="s">
        <v>103</v>
      </c>
      <c r="G31" t="s">
        <v>105</v>
      </c>
      <c r="K31" t="s">
        <v>103</v>
      </c>
      <c r="M31" s="5" t="s">
        <v>86</v>
      </c>
      <c r="N31" s="5"/>
      <c r="O31" s="5">
        <v>2</v>
      </c>
    </row>
    <row r="32" spans="2:15">
      <c r="C32" t="s">
        <v>127</v>
      </c>
      <c r="D32" s="5"/>
      <c r="F32" s="51" t="s">
        <v>90</v>
      </c>
      <c r="G32" t="s">
        <v>105</v>
      </c>
      <c r="K32" s="47" t="s">
        <v>377</v>
      </c>
      <c r="M32" s="5" t="s">
        <v>133</v>
      </c>
      <c r="N32" s="5"/>
      <c r="O32" s="5">
        <v>4</v>
      </c>
    </row>
    <row r="33" spans="3:15">
      <c r="C33" t="s">
        <v>104</v>
      </c>
      <c r="D33" s="5" t="s">
        <v>3</v>
      </c>
      <c r="E33" s="5"/>
      <c r="F33" s="51" t="s">
        <v>107</v>
      </c>
      <c r="G33" t="s">
        <v>106</v>
      </c>
      <c r="M33" s="5" t="s">
        <v>131</v>
      </c>
      <c r="N33" s="5"/>
      <c r="O33" s="5">
        <v>6</v>
      </c>
    </row>
    <row r="34" spans="3:15">
      <c r="C34" t="s">
        <v>125</v>
      </c>
      <c r="D34" s="5" t="s">
        <v>130</v>
      </c>
      <c r="E34" s="5"/>
      <c r="F34" s="51">
        <v>3</v>
      </c>
      <c r="K34" t="s">
        <v>89</v>
      </c>
      <c r="M34" s="5" t="s">
        <v>132</v>
      </c>
      <c r="N34" s="5"/>
      <c r="O34" s="5">
        <v>8</v>
      </c>
    </row>
    <row r="35" spans="3:15">
      <c r="C35" t="s">
        <v>108</v>
      </c>
      <c r="D35" s="5" t="s">
        <v>109</v>
      </c>
      <c r="E35" s="5" t="s">
        <v>86</v>
      </c>
      <c r="F35" s="51">
        <v>197</v>
      </c>
      <c r="G35" t="s">
        <v>126</v>
      </c>
      <c r="K35" t="s">
        <v>90</v>
      </c>
      <c r="M35" s="5" t="s">
        <v>134</v>
      </c>
      <c r="N35" s="5"/>
      <c r="O35" s="5">
        <v>10</v>
      </c>
    </row>
    <row r="36" spans="3:15">
      <c r="C36" t="s">
        <v>110</v>
      </c>
      <c r="D36" s="5" t="s">
        <v>154</v>
      </c>
      <c r="E36" s="5"/>
      <c r="F36" s="51">
        <v>1</v>
      </c>
      <c r="G36" t="s">
        <v>118</v>
      </c>
      <c r="M36" s="5" t="s">
        <v>107</v>
      </c>
      <c r="N36" s="5"/>
      <c r="O36" s="5">
        <v>12</v>
      </c>
    </row>
    <row r="37" spans="3:15">
      <c r="C37" t="s">
        <v>111</v>
      </c>
      <c r="D37" s="5" t="s">
        <v>155</v>
      </c>
      <c r="E37" s="5"/>
      <c r="F37" s="51">
        <v>0.95</v>
      </c>
      <c r="G37" t="s">
        <v>119</v>
      </c>
      <c r="M37" s="5" t="s">
        <v>135</v>
      </c>
      <c r="N37" s="5"/>
      <c r="O37" s="5">
        <v>16</v>
      </c>
    </row>
    <row r="38" spans="3:15">
      <c r="C38" t="s">
        <v>112</v>
      </c>
      <c r="D38" s="5" t="s">
        <v>156</v>
      </c>
      <c r="E38" s="5"/>
      <c r="F38" s="51">
        <v>1</v>
      </c>
      <c r="G38" t="s">
        <v>120</v>
      </c>
      <c r="M38" s="5" t="s">
        <v>136</v>
      </c>
      <c r="N38" s="5"/>
      <c r="O38" s="5">
        <v>20</v>
      </c>
    </row>
    <row r="39" spans="3:15">
      <c r="C39" t="s">
        <v>113</v>
      </c>
      <c r="D39" s="5" t="s">
        <v>157</v>
      </c>
      <c r="E39" s="5"/>
      <c r="F39" s="51">
        <v>1</v>
      </c>
      <c r="G39" t="s">
        <v>121</v>
      </c>
      <c r="M39" s="5" t="s">
        <v>137</v>
      </c>
      <c r="N39" s="5"/>
      <c r="O39" s="5">
        <v>25</v>
      </c>
    </row>
    <row r="40" spans="3:15">
      <c r="C40" t="s">
        <v>114</v>
      </c>
      <c r="D40" s="5" t="s">
        <v>158</v>
      </c>
      <c r="E40" s="5"/>
      <c r="F40" s="51">
        <v>1</v>
      </c>
      <c r="G40" t="s">
        <v>122</v>
      </c>
      <c r="K40" s="50" t="s">
        <v>117</v>
      </c>
      <c r="O40" s="5">
        <v>32</v>
      </c>
    </row>
    <row r="41" spans="3:15">
      <c r="C41" t="s">
        <v>115</v>
      </c>
      <c r="D41" s="5" t="s">
        <v>159</v>
      </c>
      <c r="E41" s="5"/>
      <c r="F41" s="51">
        <v>1</v>
      </c>
      <c r="G41" t="s">
        <v>123</v>
      </c>
      <c r="J41" s="1" t="s">
        <v>148</v>
      </c>
      <c r="K41">
        <v>1.45</v>
      </c>
      <c r="O41" s="5">
        <v>40</v>
      </c>
    </row>
    <row r="42" spans="3:15">
      <c r="C42" t="s">
        <v>116</v>
      </c>
      <c r="D42" s="5" t="s">
        <v>160</v>
      </c>
      <c r="E42" s="5"/>
      <c r="F42" s="51">
        <v>1</v>
      </c>
      <c r="G42" t="s">
        <v>124</v>
      </c>
      <c r="J42" s="1" t="s">
        <v>149</v>
      </c>
      <c r="K42" s="49">
        <v>1.3</v>
      </c>
      <c r="O42" s="5">
        <v>50</v>
      </c>
    </row>
    <row r="43" spans="3:15">
      <c r="C43" t="s">
        <v>128</v>
      </c>
      <c r="D43" s="5" t="s">
        <v>161</v>
      </c>
      <c r="E43" s="5"/>
      <c r="F43" s="28">
        <f>F36*F37*F38*F39*F40*F41*F42</f>
        <v>0.95</v>
      </c>
      <c r="J43" s="1" t="s">
        <v>152</v>
      </c>
      <c r="K43" s="49">
        <v>1.6</v>
      </c>
      <c r="O43" s="5">
        <v>63</v>
      </c>
    </row>
    <row r="44" spans="3:15">
      <c r="C44" t="s">
        <v>129</v>
      </c>
      <c r="D44" s="5" t="s">
        <v>138</v>
      </c>
      <c r="E44" s="5" t="s">
        <v>86</v>
      </c>
      <c r="F44" s="20">
        <f>F35*F43</f>
        <v>187.14999999999998</v>
      </c>
      <c r="J44" s="1" t="s">
        <v>151</v>
      </c>
      <c r="K44" s="49">
        <v>1.9</v>
      </c>
      <c r="O44" s="5">
        <v>80</v>
      </c>
    </row>
    <row r="45" spans="3:15">
      <c r="C45" t="s">
        <v>139</v>
      </c>
      <c r="D45" s="5" t="s">
        <v>57</v>
      </c>
      <c r="E45" s="5" t="s">
        <v>86</v>
      </c>
      <c r="F45" s="51">
        <v>160</v>
      </c>
      <c r="J45" s="1" t="s">
        <v>150</v>
      </c>
      <c r="K45" s="49">
        <v>2.1</v>
      </c>
      <c r="O45" s="5">
        <v>100</v>
      </c>
    </row>
    <row r="46" spans="3:15">
      <c r="C46" s="4" t="s">
        <v>142</v>
      </c>
      <c r="D46" s="38" t="s">
        <v>141</v>
      </c>
      <c r="E46" s="38" t="s">
        <v>140</v>
      </c>
      <c r="F46" s="29" t="str">
        <f>IF($F$45&lt;=$F$44,"OK!","!!!!!!!!!")</f>
        <v>OK!</v>
      </c>
      <c r="J46" s="1"/>
      <c r="O46" s="5">
        <v>125</v>
      </c>
    </row>
    <row r="47" spans="3:15">
      <c r="C47" s="47" t="s">
        <v>153</v>
      </c>
      <c r="D47" s="5" t="s">
        <v>117</v>
      </c>
      <c r="E47" s="5" t="s">
        <v>3</v>
      </c>
      <c r="F47" s="52">
        <v>1.6</v>
      </c>
      <c r="J47" s="1"/>
      <c r="O47" s="5">
        <v>160</v>
      </c>
    </row>
    <row r="48" spans="3:15">
      <c r="C48" s="47" t="s">
        <v>146</v>
      </c>
      <c r="D48" s="5" t="s">
        <v>147</v>
      </c>
      <c r="E48" s="5" t="s">
        <v>86</v>
      </c>
      <c r="F48" s="28">
        <f>F47*F45</f>
        <v>256</v>
      </c>
      <c r="J48" s="1"/>
      <c r="O48" s="5">
        <v>200</v>
      </c>
    </row>
    <row r="49" spans="3:15">
      <c r="C49" s="47" t="s">
        <v>163</v>
      </c>
      <c r="D49" s="5" t="s">
        <v>162</v>
      </c>
      <c r="E49" s="5" t="s">
        <v>86</v>
      </c>
      <c r="F49" s="20">
        <f>1.45*F44</f>
        <v>271.36749999999995</v>
      </c>
      <c r="O49" s="5">
        <v>250</v>
      </c>
    </row>
    <row r="50" spans="3:15">
      <c r="C50" s="4" t="s">
        <v>144</v>
      </c>
      <c r="D50" s="38" t="s">
        <v>145</v>
      </c>
      <c r="E50" s="38" t="s">
        <v>140</v>
      </c>
      <c r="F50" s="29" t="str">
        <f>IF($F$48&lt;=$F$49,"OK!","!!!!!!!!!")</f>
        <v>OK!</v>
      </c>
      <c r="O50" s="5">
        <v>315</v>
      </c>
    </row>
    <row r="51" spans="3:15" ht="18.75">
      <c r="C51" s="53" t="s">
        <v>164</v>
      </c>
      <c r="D51" s="54" t="s">
        <v>57</v>
      </c>
      <c r="E51" s="54" t="s">
        <v>86</v>
      </c>
      <c r="F51" s="54">
        <f>F45</f>
        <v>160</v>
      </c>
      <c r="O51" s="5">
        <v>400</v>
      </c>
    </row>
    <row r="52" spans="3:15">
      <c r="F52" s="5"/>
      <c r="O52" s="5">
        <v>500</v>
      </c>
    </row>
    <row r="53" spans="3:15">
      <c r="F53" s="5"/>
      <c r="O53" s="5">
        <v>630</v>
      </c>
    </row>
    <row r="54" spans="3:15">
      <c r="F54" s="5"/>
      <c r="O54" s="5">
        <v>800</v>
      </c>
    </row>
    <row r="55" spans="3:15">
      <c r="F55" s="5"/>
      <c r="O55" s="5">
        <v>1000</v>
      </c>
    </row>
    <row r="56" spans="3:15">
      <c r="F56" s="5"/>
      <c r="O56" s="5">
        <v>1250</v>
      </c>
    </row>
    <row r="57" spans="3:15">
      <c r="O57" s="5">
        <v>1600</v>
      </c>
    </row>
    <row r="58" spans="3:15">
      <c r="O58" s="5">
        <v>2000</v>
      </c>
    </row>
    <row r="59" spans="3:15">
      <c r="O59" s="5">
        <v>2500</v>
      </c>
    </row>
    <row r="60" spans="3:15" s="47" customFormat="1">
      <c r="O60" s="5">
        <v>3200</v>
      </c>
    </row>
    <row r="61" spans="3:15" s="47" customFormat="1">
      <c r="O61" s="5">
        <v>4000</v>
      </c>
    </row>
    <row r="62" spans="3:15" s="47" customFormat="1">
      <c r="O62" s="5">
        <v>5000</v>
      </c>
    </row>
    <row r="63" spans="3:15" s="47" customFormat="1">
      <c r="O63" s="5">
        <v>6300</v>
      </c>
    </row>
    <row r="65" spans="2:24" ht="30">
      <c r="B65" s="43" t="s">
        <v>166</v>
      </c>
      <c r="N65" s="55"/>
      <c r="O65" s="55" t="s">
        <v>207</v>
      </c>
    </row>
    <row r="67" spans="2:24" ht="30">
      <c r="B67" s="56" t="s">
        <v>179</v>
      </c>
      <c r="C67" s="56" t="s">
        <v>180</v>
      </c>
      <c r="D67" s="57" t="s">
        <v>184</v>
      </c>
      <c r="E67" s="56" t="s">
        <v>185</v>
      </c>
      <c r="F67" s="56" t="s">
        <v>186</v>
      </c>
      <c r="G67" s="56" t="s">
        <v>187</v>
      </c>
      <c r="H67" s="56" t="s">
        <v>188</v>
      </c>
      <c r="I67" s="56" t="s">
        <v>189</v>
      </c>
      <c r="J67" s="56" t="s">
        <v>190</v>
      </c>
      <c r="K67" s="71" t="s">
        <v>191</v>
      </c>
      <c r="L67" s="71" t="s">
        <v>192</v>
      </c>
      <c r="M67" s="71" t="s">
        <v>204</v>
      </c>
      <c r="N67" s="71" t="s">
        <v>205</v>
      </c>
      <c r="O67" s="71" t="s">
        <v>193</v>
      </c>
      <c r="P67" s="71" t="s">
        <v>199</v>
      </c>
      <c r="Q67" s="71" t="s">
        <v>194</v>
      </c>
      <c r="R67" s="71" t="s">
        <v>195</v>
      </c>
      <c r="S67" s="71" t="s">
        <v>323</v>
      </c>
      <c r="T67" s="71" t="s">
        <v>324</v>
      </c>
      <c r="U67" s="71" t="s">
        <v>322</v>
      </c>
      <c r="W67" s="47" t="s">
        <v>203</v>
      </c>
    </row>
    <row r="68" spans="2:24" ht="45">
      <c r="B68" s="58" t="s">
        <v>167</v>
      </c>
      <c r="C68" s="59" t="s">
        <v>198</v>
      </c>
      <c r="D68" s="62" t="s">
        <v>136</v>
      </c>
      <c r="E68" s="62">
        <v>0.96</v>
      </c>
      <c r="F68" s="62">
        <v>1</v>
      </c>
      <c r="G68" s="62">
        <v>0.77</v>
      </c>
      <c r="H68" s="62">
        <v>1</v>
      </c>
      <c r="I68" s="62">
        <v>1</v>
      </c>
      <c r="J68" s="72">
        <f t="shared" ref="J68:J77" si="0">E68*F68*G68*H68*I68</f>
        <v>0.73919999999999997</v>
      </c>
      <c r="K68" s="63">
        <f>'11'!N53</f>
        <v>1281.6753675565692</v>
      </c>
      <c r="L68" s="68">
        <v>1600</v>
      </c>
      <c r="M68" s="69">
        <f>0.9*0.9</f>
        <v>0.81</v>
      </c>
      <c r="N68" s="70">
        <f>L68*M68</f>
        <v>1296</v>
      </c>
      <c r="O68" s="65">
        <f>N68/J68</f>
        <v>1753.2467532467533</v>
      </c>
      <c r="P68" s="66" t="s">
        <v>200</v>
      </c>
      <c r="Q68" s="67">
        <f>4*444</f>
        <v>1776</v>
      </c>
      <c r="R68" s="62" t="s">
        <v>378</v>
      </c>
      <c r="S68" s="62" t="str">
        <f>IF(K68&lt;=N68,"OK!","!!!!!!!!!")</f>
        <v>OK!</v>
      </c>
      <c r="T68" s="62" t="str">
        <f>IF(N68&lt;=Q68*J68,"OK!","!!!!!!!!!")</f>
        <v>OK!</v>
      </c>
      <c r="U68" s="62" t="str">
        <f>IF(N68*$K$42&lt;=Q68*J68*1.45,"OK!","!!!!!!!!!")</f>
        <v>OK!</v>
      </c>
      <c r="W68" s="73" t="s">
        <v>201</v>
      </c>
      <c r="X68" s="73" t="s">
        <v>202</v>
      </c>
    </row>
    <row r="69" spans="2:24" ht="45">
      <c r="B69" s="58" t="s">
        <v>168</v>
      </c>
      <c r="C69" s="59" t="s">
        <v>198</v>
      </c>
      <c r="D69" s="62" t="str">
        <f>D68</f>
        <v>F</v>
      </c>
      <c r="E69" s="62">
        <f>E68</f>
        <v>0.96</v>
      </c>
      <c r="F69" s="62">
        <f t="shared" ref="F69:I69" si="1">F68</f>
        <v>1</v>
      </c>
      <c r="G69" s="62">
        <f t="shared" si="1"/>
        <v>0.77</v>
      </c>
      <c r="H69" s="62">
        <f t="shared" si="1"/>
        <v>1</v>
      </c>
      <c r="I69" s="62">
        <f t="shared" si="1"/>
        <v>1</v>
      </c>
      <c r="J69" s="72">
        <f t="shared" si="0"/>
        <v>0.73919999999999997</v>
      </c>
      <c r="K69" s="63">
        <f>K68</f>
        <v>1281.6753675565692</v>
      </c>
      <c r="L69" s="68">
        <v>1600</v>
      </c>
      <c r="M69" s="69">
        <f t="shared" ref="M69" si="2">M68</f>
        <v>0.81</v>
      </c>
      <c r="N69" s="70">
        <f t="shared" ref="N69:N77" si="3">L69*M69</f>
        <v>1296</v>
      </c>
      <c r="O69" s="65">
        <f>O68</f>
        <v>1753.2467532467533</v>
      </c>
      <c r="P69" s="66" t="str">
        <f>P68</f>
        <v>C11</v>
      </c>
      <c r="Q69" s="67">
        <f>Q68</f>
        <v>1776</v>
      </c>
      <c r="R69" s="62" t="str">
        <f>R68</f>
        <v>4x150</v>
      </c>
      <c r="S69" s="62" t="str">
        <f t="shared" ref="S69:S77" si="4">IF(K69&lt;=N69,"OK!","!!!!!!!!!")</f>
        <v>OK!</v>
      </c>
      <c r="T69" s="62" t="str">
        <f t="shared" ref="T69:T77" si="5">IF(N69&lt;=Q69*J69,"OK!","!!!!!!!!!")</f>
        <v>OK!</v>
      </c>
      <c r="U69" s="62" t="str">
        <f t="shared" ref="U69:U77" si="6">IF(N69*$K$42&lt;=Q69*J69*1.45,"OK!","!!!!!!!!!")</f>
        <v>OK!</v>
      </c>
      <c r="W69" s="74">
        <v>1</v>
      </c>
      <c r="X69" s="74">
        <v>1</v>
      </c>
    </row>
    <row r="70" spans="2:24" ht="30">
      <c r="B70" s="58" t="s">
        <v>169</v>
      </c>
      <c r="C70" s="59" t="s">
        <v>178</v>
      </c>
      <c r="D70" s="62" t="s">
        <v>131</v>
      </c>
      <c r="E70" s="62">
        <v>1</v>
      </c>
      <c r="F70" s="62">
        <v>1</v>
      </c>
      <c r="G70" s="62">
        <v>1</v>
      </c>
      <c r="H70" s="62">
        <v>1</v>
      </c>
      <c r="I70" s="62">
        <v>1</v>
      </c>
      <c r="J70" s="72">
        <f t="shared" si="0"/>
        <v>1</v>
      </c>
      <c r="K70" s="64">
        <f>'11'!M13</f>
        <v>93.947476651678912</v>
      </c>
      <c r="L70" s="68">
        <v>100</v>
      </c>
      <c r="M70" s="69">
        <v>1</v>
      </c>
      <c r="N70" s="70">
        <f t="shared" si="3"/>
        <v>100</v>
      </c>
      <c r="O70" s="65">
        <f t="shared" ref="O70:O77" si="7">N70/J70</f>
        <v>100</v>
      </c>
      <c r="P70" s="66" t="s">
        <v>170</v>
      </c>
      <c r="Q70" s="67">
        <v>117</v>
      </c>
      <c r="R70" s="62">
        <v>25</v>
      </c>
      <c r="S70" s="62" t="str">
        <f t="shared" si="4"/>
        <v>OK!</v>
      </c>
      <c r="T70" s="62" t="str">
        <f t="shared" si="5"/>
        <v>OK!</v>
      </c>
      <c r="U70" s="62" t="str">
        <f t="shared" si="6"/>
        <v>OK!</v>
      </c>
      <c r="W70" s="74">
        <v>0.9</v>
      </c>
      <c r="X70" s="74">
        <v>0.98</v>
      </c>
    </row>
    <row r="71" spans="2:24" ht="30">
      <c r="B71" s="58" t="s">
        <v>170</v>
      </c>
      <c r="C71" s="59" t="s">
        <v>181</v>
      </c>
      <c r="D71" s="62" t="s">
        <v>135</v>
      </c>
      <c r="E71" s="62">
        <v>1</v>
      </c>
      <c r="F71" s="62">
        <v>1</v>
      </c>
      <c r="G71" s="62">
        <v>1</v>
      </c>
      <c r="H71" s="62">
        <v>1</v>
      </c>
      <c r="I71" s="62">
        <v>1</v>
      </c>
      <c r="J71" s="72">
        <f t="shared" si="0"/>
        <v>1</v>
      </c>
      <c r="K71" s="64">
        <f>'11'!L29</f>
        <v>131.70616786125564</v>
      </c>
      <c r="L71" s="68">
        <v>160</v>
      </c>
      <c r="M71" s="69">
        <v>0.9</v>
      </c>
      <c r="N71" s="70">
        <f t="shared" si="3"/>
        <v>144</v>
      </c>
      <c r="O71" s="65">
        <f t="shared" si="7"/>
        <v>144</v>
      </c>
      <c r="P71" s="66" t="s">
        <v>200</v>
      </c>
      <c r="Q71" s="67">
        <f>158</f>
        <v>158</v>
      </c>
      <c r="R71" s="62">
        <v>35</v>
      </c>
      <c r="S71" s="62" t="str">
        <f t="shared" si="4"/>
        <v>OK!</v>
      </c>
      <c r="T71" s="62" t="str">
        <f t="shared" si="5"/>
        <v>OK!</v>
      </c>
      <c r="U71" s="62" t="str">
        <f t="shared" si="6"/>
        <v>OK!</v>
      </c>
      <c r="W71" s="74">
        <v>0.8</v>
      </c>
      <c r="X71" s="74">
        <v>0.95</v>
      </c>
    </row>
    <row r="72" spans="2:24" ht="30">
      <c r="B72" s="58" t="s">
        <v>171</v>
      </c>
      <c r="C72" s="59" t="s">
        <v>182</v>
      </c>
      <c r="D72" s="62" t="s">
        <v>107</v>
      </c>
      <c r="E72" s="62">
        <v>1</v>
      </c>
      <c r="F72" s="62">
        <v>0.96</v>
      </c>
      <c r="G72" s="62">
        <v>1</v>
      </c>
      <c r="H72" s="62">
        <v>1</v>
      </c>
      <c r="I72" s="62">
        <v>1.1299999999999999</v>
      </c>
      <c r="J72" s="72">
        <f t="shared" si="0"/>
        <v>1.0847999999999998</v>
      </c>
      <c r="K72" s="64">
        <f>'11'!L34</f>
        <v>108.19907593508728</v>
      </c>
      <c r="L72" s="68">
        <v>125</v>
      </c>
      <c r="M72" s="69">
        <v>0.9</v>
      </c>
      <c r="N72" s="70">
        <f t="shared" si="3"/>
        <v>112.5</v>
      </c>
      <c r="O72" s="65">
        <f t="shared" si="7"/>
        <v>103.7057522123894</v>
      </c>
      <c r="P72" s="66" t="s">
        <v>206</v>
      </c>
      <c r="Q72" s="67">
        <f>113</f>
        <v>113</v>
      </c>
      <c r="R72" s="62">
        <v>16</v>
      </c>
      <c r="S72" s="62" t="str">
        <f t="shared" si="4"/>
        <v>OK!</v>
      </c>
      <c r="T72" s="62" t="str">
        <f t="shared" si="5"/>
        <v>OK!</v>
      </c>
      <c r="U72" s="62" t="str">
        <f t="shared" si="6"/>
        <v>OK!</v>
      </c>
      <c r="W72" s="74">
        <v>0.7</v>
      </c>
      <c r="X72" s="74">
        <v>0.93</v>
      </c>
    </row>
    <row r="73" spans="2:24" ht="45">
      <c r="B73" s="58" t="s">
        <v>172</v>
      </c>
      <c r="C73" s="59" t="s">
        <v>183</v>
      </c>
      <c r="D73" s="62" t="s">
        <v>136</v>
      </c>
      <c r="E73" s="62">
        <v>0.91</v>
      </c>
      <c r="F73" s="62">
        <v>1</v>
      </c>
      <c r="G73" s="62">
        <v>0.82</v>
      </c>
      <c r="H73" s="62">
        <v>1</v>
      </c>
      <c r="I73" s="62">
        <v>1</v>
      </c>
      <c r="J73" s="72">
        <f t="shared" si="0"/>
        <v>0.74619999999999997</v>
      </c>
      <c r="K73" s="64">
        <f>'11'!L39</f>
        <v>170.72185379263124</v>
      </c>
      <c r="L73" s="68">
        <v>200</v>
      </c>
      <c r="M73" s="69">
        <f>0.9*0.95</f>
        <v>0.85499999999999998</v>
      </c>
      <c r="N73" s="70">
        <f t="shared" si="3"/>
        <v>171</v>
      </c>
      <c r="O73" s="65">
        <f t="shared" si="7"/>
        <v>229.16108281961942</v>
      </c>
      <c r="P73" s="66" t="s">
        <v>200</v>
      </c>
      <c r="Q73" s="67">
        <v>279</v>
      </c>
      <c r="R73" s="62">
        <v>70</v>
      </c>
      <c r="S73" s="62" t="str">
        <f t="shared" si="4"/>
        <v>OK!</v>
      </c>
      <c r="T73" s="62" t="str">
        <f t="shared" si="5"/>
        <v>OK!</v>
      </c>
      <c r="U73" s="62" t="str">
        <f t="shared" si="6"/>
        <v>OK!</v>
      </c>
      <c r="W73" s="74">
        <v>0.63</v>
      </c>
      <c r="X73" s="74">
        <v>0.9</v>
      </c>
    </row>
    <row r="74" spans="2:24" ht="31.5" customHeight="1">
      <c r="B74" s="58" t="s">
        <v>173</v>
      </c>
      <c r="C74" s="59" t="s">
        <v>208</v>
      </c>
      <c r="D74" s="62" t="s">
        <v>136</v>
      </c>
      <c r="E74" s="62">
        <v>0.87</v>
      </c>
      <c r="F74" s="62">
        <v>1</v>
      </c>
      <c r="G74" s="62">
        <v>0.88</v>
      </c>
      <c r="H74" s="62">
        <v>1</v>
      </c>
      <c r="I74" s="62">
        <v>1</v>
      </c>
      <c r="J74" s="72">
        <f t="shared" si="0"/>
        <v>0.76559999999999995</v>
      </c>
      <c r="K74" s="64">
        <f>'11'!L43</f>
        <v>392.59818304894549</v>
      </c>
      <c r="L74" s="68">
        <v>400</v>
      </c>
      <c r="M74" s="69">
        <v>1</v>
      </c>
      <c r="N74" s="70">
        <f t="shared" si="3"/>
        <v>400</v>
      </c>
      <c r="O74" s="65">
        <f t="shared" si="7"/>
        <v>522.4660397074191</v>
      </c>
      <c r="P74" s="66" t="s">
        <v>174</v>
      </c>
      <c r="Q74" s="67">
        <f>2*274</f>
        <v>548</v>
      </c>
      <c r="R74" s="62" t="s">
        <v>209</v>
      </c>
      <c r="S74" s="62" t="str">
        <f t="shared" si="4"/>
        <v>OK!</v>
      </c>
      <c r="T74" s="62" t="str">
        <f t="shared" si="5"/>
        <v>OK!</v>
      </c>
      <c r="U74" s="62" t="str">
        <f t="shared" si="6"/>
        <v>OK!</v>
      </c>
      <c r="W74" s="74">
        <v>0.5</v>
      </c>
      <c r="X74" s="74">
        <v>0.88</v>
      </c>
    </row>
    <row r="75" spans="2:24">
      <c r="B75" s="58" t="s">
        <v>175</v>
      </c>
      <c r="C75" s="371" t="s">
        <v>210</v>
      </c>
      <c r="D75" s="62" t="s">
        <v>135</v>
      </c>
      <c r="E75" s="62">
        <v>1</v>
      </c>
      <c r="F75" s="62">
        <v>1</v>
      </c>
      <c r="G75" s="62">
        <v>0.82</v>
      </c>
      <c r="H75" s="62">
        <v>1</v>
      </c>
      <c r="I75" s="62">
        <v>1</v>
      </c>
      <c r="J75" s="72">
        <f t="shared" si="0"/>
        <v>0.82</v>
      </c>
      <c r="K75" s="64">
        <f>'11'!K26</f>
        <v>21.220438923703163</v>
      </c>
      <c r="L75" s="68">
        <v>25</v>
      </c>
      <c r="M75" s="69">
        <v>1</v>
      </c>
      <c r="N75" s="70">
        <f t="shared" si="3"/>
        <v>25</v>
      </c>
      <c r="O75" s="65">
        <f t="shared" si="7"/>
        <v>30.487804878048781</v>
      </c>
      <c r="P75" s="66" t="s">
        <v>211</v>
      </c>
      <c r="Q75" s="67">
        <v>34</v>
      </c>
      <c r="R75" s="62">
        <v>4</v>
      </c>
      <c r="S75" s="62" t="str">
        <f t="shared" si="4"/>
        <v>OK!</v>
      </c>
      <c r="T75" s="62" t="str">
        <f t="shared" si="5"/>
        <v>OK!</v>
      </c>
      <c r="U75" s="62" t="str">
        <f t="shared" si="6"/>
        <v>OK!</v>
      </c>
      <c r="W75" s="74"/>
      <c r="X75" s="74">
        <v>0.85</v>
      </c>
    </row>
    <row r="76" spans="2:24">
      <c r="B76" s="58" t="s">
        <v>176</v>
      </c>
      <c r="C76" s="371"/>
      <c r="D76" s="62" t="str">
        <f>D75</f>
        <v>E</v>
      </c>
      <c r="E76" s="62">
        <f>E75</f>
        <v>1</v>
      </c>
      <c r="F76" s="62">
        <f t="shared" ref="F76:I76" si="8">F75</f>
        <v>1</v>
      </c>
      <c r="G76" s="62">
        <f t="shared" si="8"/>
        <v>0.82</v>
      </c>
      <c r="H76" s="62">
        <f t="shared" si="8"/>
        <v>1</v>
      </c>
      <c r="I76" s="62">
        <f t="shared" si="8"/>
        <v>1</v>
      </c>
      <c r="J76" s="72">
        <f t="shared" si="0"/>
        <v>0.82</v>
      </c>
      <c r="K76" s="64">
        <f>'11'!K27</f>
        <v>41.487150255329773</v>
      </c>
      <c r="L76" s="68">
        <v>50</v>
      </c>
      <c r="M76" s="69">
        <v>0.9</v>
      </c>
      <c r="N76" s="70">
        <f t="shared" si="3"/>
        <v>45</v>
      </c>
      <c r="O76" s="65">
        <f t="shared" si="7"/>
        <v>54.878048780487809</v>
      </c>
      <c r="P76" s="66" t="s">
        <v>211</v>
      </c>
      <c r="Q76" s="67">
        <f>60</f>
        <v>60</v>
      </c>
      <c r="R76" s="62">
        <v>10</v>
      </c>
      <c r="S76" s="62" t="str">
        <f t="shared" si="4"/>
        <v>OK!</v>
      </c>
      <c r="T76" s="62" t="str">
        <f t="shared" si="5"/>
        <v>OK!</v>
      </c>
      <c r="U76" s="62" t="str">
        <f t="shared" si="6"/>
        <v>OK!</v>
      </c>
      <c r="W76" s="74"/>
      <c r="X76" s="74">
        <v>0.8</v>
      </c>
    </row>
    <row r="77" spans="2:24">
      <c r="B77" s="58" t="s">
        <v>177</v>
      </c>
      <c r="C77" s="371"/>
      <c r="D77" s="62" t="str">
        <f>D75</f>
        <v>E</v>
      </c>
      <c r="E77" s="62">
        <f>E75</f>
        <v>1</v>
      </c>
      <c r="F77" s="62">
        <f t="shared" ref="F77:I77" si="9">F75</f>
        <v>1</v>
      </c>
      <c r="G77" s="62">
        <f t="shared" si="9"/>
        <v>0.82</v>
      </c>
      <c r="H77" s="62">
        <f t="shared" si="9"/>
        <v>1</v>
      </c>
      <c r="I77" s="62">
        <f t="shared" si="9"/>
        <v>1</v>
      </c>
      <c r="J77" s="72">
        <f t="shared" si="0"/>
        <v>0.82</v>
      </c>
      <c r="K77" s="64">
        <f>'11'!K28</f>
        <v>68.9985786822227</v>
      </c>
      <c r="L77" s="68">
        <v>80</v>
      </c>
      <c r="M77" s="69">
        <v>0.9</v>
      </c>
      <c r="N77" s="70">
        <f t="shared" si="3"/>
        <v>72</v>
      </c>
      <c r="O77" s="65">
        <f t="shared" si="7"/>
        <v>87.804878048780495</v>
      </c>
      <c r="P77" s="66" t="s">
        <v>211</v>
      </c>
      <c r="Q77" s="67">
        <v>101</v>
      </c>
      <c r="R77" s="62">
        <v>25</v>
      </c>
      <c r="S77" s="62" t="str">
        <f t="shared" si="4"/>
        <v>OK!</v>
      </c>
      <c r="T77" s="62" t="str">
        <f t="shared" si="5"/>
        <v>OK!</v>
      </c>
      <c r="U77" s="62" t="str">
        <f t="shared" si="6"/>
        <v>OK!</v>
      </c>
    </row>
    <row r="81" spans="2:15">
      <c r="D81" s="47"/>
      <c r="E81" s="47"/>
      <c r="F81" s="47"/>
      <c r="G81" s="47"/>
      <c r="H81" s="47"/>
      <c r="I81" s="47"/>
    </row>
    <row r="82" spans="2:15" ht="15.75">
      <c r="B82" s="43" t="s">
        <v>212</v>
      </c>
      <c r="F82" s="47"/>
      <c r="G82" s="47"/>
      <c r="H82" s="47"/>
    </row>
    <row r="84" spans="2:15">
      <c r="C84" s="80" t="s">
        <v>213</v>
      </c>
      <c r="D84" s="81"/>
      <c r="E84" s="82"/>
      <c r="F84" s="29" t="s">
        <v>167</v>
      </c>
      <c r="G84" s="29" t="s">
        <v>168</v>
      </c>
      <c r="H84" s="29" t="s">
        <v>169</v>
      </c>
      <c r="I84" s="29" t="s">
        <v>170</v>
      </c>
      <c r="J84" s="29" t="s">
        <v>171</v>
      </c>
      <c r="K84" s="29" t="s">
        <v>172</v>
      </c>
      <c r="L84" s="29" t="s">
        <v>173</v>
      </c>
      <c r="M84" s="79" t="s">
        <v>175</v>
      </c>
      <c r="N84" s="79" t="s">
        <v>176</v>
      </c>
      <c r="O84" s="79" t="s">
        <v>177</v>
      </c>
    </row>
    <row r="85" spans="2:15">
      <c r="C85" s="9" t="s">
        <v>97</v>
      </c>
      <c r="D85" s="28" t="s">
        <v>98</v>
      </c>
      <c r="E85" s="28" t="s">
        <v>23</v>
      </c>
      <c r="F85" s="9">
        <v>230</v>
      </c>
      <c r="G85" s="9">
        <v>230</v>
      </c>
      <c r="H85" s="9">
        <v>230</v>
      </c>
      <c r="I85" s="9">
        <v>230</v>
      </c>
      <c r="J85" s="9">
        <v>230</v>
      </c>
      <c r="K85" s="9">
        <v>230</v>
      </c>
      <c r="L85" s="9">
        <v>230</v>
      </c>
      <c r="M85" s="9">
        <v>230</v>
      </c>
      <c r="N85" s="9">
        <v>230</v>
      </c>
      <c r="O85" s="9">
        <v>230</v>
      </c>
    </row>
    <row r="86" spans="2:15">
      <c r="C86" s="9" t="s">
        <v>69</v>
      </c>
      <c r="D86" s="28" t="s">
        <v>66</v>
      </c>
      <c r="E86" s="28" t="s">
        <v>67</v>
      </c>
      <c r="F86" s="9">
        <v>1</v>
      </c>
      <c r="G86" s="9">
        <v>1</v>
      </c>
      <c r="H86" s="9">
        <v>2</v>
      </c>
      <c r="I86" s="9">
        <v>1</v>
      </c>
      <c r="J86" s="9">
        <v>1</v>
      </c>
      <c r="K86" s="9">
        <v>1</v>
      </c>
      <c r="L86" s="9">
        <v>1</v>
      </c>
      <c r="M86" s="9">
        <v>1</v>
      </c>
      <c r="N86" s="9">
        <v>1</v>
      </c>
      <c r="O86" s="9">
        <v>1</v>
      </c>
    </row>
    <row r="87" spans="2:15">
      <c r="C87" s="9" t="s">
        <v>71</v>
      </c>
      <c r="D87" s="39" t="s">
        <v>70</v>
      </c>
      <c r="E87" s="40" t="s">
        <v>72</v>
      </c>
      <c r="F87" s="9">
        <v>2.2499999999999999E-2</v>
      </c>
      <c r="G87" s="9">
        <v>2.2499999999999999E-2</v>
      </c>
      <c r="H87" s="9">
        <v>2.2499999999999999E-2</v>
      </c>
      <c r="I87" s="9">
        <v>2.2499999999999999E-2</v>
      </c>
      <c r="J87" s="9">
        <v>2.2499999999999999E-2</v>
      </c>
      <c r="K87" s="9">
        <v>2.2499999999999999E-2</v>
      </c>
      <c r="L87" s="9">
        <v>3.5999999999999997E-2</v>
      </c>
      <c r="M87" s="9">
        <v>2.2499999999999999E-2</v>
      </c>
      <c r="N87" s="9">
        <v>2.2499999999999999E-2</v>
      </c>
      <c r="O87" s="9">
        <v>2.2499999999999999E-2</v>
      </c>
    </row>
    <row r="88" spans="2:15">
      <c r="C88" s="9" t="s">
        <v>73</v>
      </c>
      <c r="D88" s="28" t="s">
        <v>74</v>
      </c>
      <c r="E88" s="40" t="s">
        <v>75</v>
      </c>
      <c r="F88" s="9">
        <v>10</v>
      </c>
      <c r="G88" s="9">
        <f>F88</f>
        <v>10</v>
      </c>
      <c r="H88" s="9">
        <v>10</v>
      </c>
      <c r="I88" s="9">
        <v>320</v>
      </c>
      <c r="J88" s="9">
        <v>75</v>
      </c>
      <c r="K88" s="9">
        <v>72</v>
      </c>
      <c r="L88" s="9">
        <v>25</v>
      </c>
      <c r="M88" s="9">
        <v>15</v>
      </c>
      <c r="N88" s="9">
        <v>20</v>
      </c>
      <c r="O88" s="9">
        <v>20</v>
      </c>
    </row>
    <row r="89" spans="2:15">
      <c r="C89" s="9" t="s">
        <v>76</v>
      </c>
      <c r="D89" s="28" t="s">
        <v>78</v>
      </c>
      <c r="E89" s="28" t="s">
        <v>77</v>
      </c>
      <c r="F89" s="9">
        <f>4*150</f>
        <v>600</v>
      </c>
      <c r="G89" s="9">
        <f>F89</f>
        <v>600</v>
      </c>
      <c r="H89" s="9">
        <f>R70</f>
        <v>25</v>
      </c>
      <c r="I89" s="9">
        <f>R71</f>
        <v>35</v>
      </c>
      <c r="J89" s="9">
        <f>R72</f>
        <v>16</v>
      </c>
      <c r="K89" s="9">
        <f>R73</f>
        <v>70</v>
      </c>
      <c r="L89" s="9">
        <f>2*150</f>
        <v>300</v>
      </c>
      <c r="M89" s="9">
        <f>R75</f>
        <v>4</v>
      </c>
      <c r="N89" s="9">
        <f>R76</f>
        <v>10</v>
      </c>
      <c r="O89" s="9">
        <f>R77</f>
        <v>25</v>
      </c>
    </row>
    <row r="90" spans="2:15">
      <c r="C90" s="9" t="s">
        <v>79</v>
      </c>
      <c r="D90" s="28" t="s">
        <v>80</v>
      </c>
      <c r="E90" s="28" t="s">
        <v>3</v>
      </c>
      <c r="F90" s="14">
        <f>'11'!O53</f>
        <v>0.87302527114999862</v>
      </c>
      <c r="G90" s="14">
        <f>F90</f>
        <v>0.87302527114999862</v>
      </c>
      <c r="H90" s="14">
        <f>'11'!N13</f>
        <v>0.96919675003876815</v>
      </c>
      <c r="I90" s="14">
        <f>'11'!M29</f>
        <v>0.86</v>
      </c>
      <c r="J90" s="14">
        <f>'11'!M34</f>
        <v>0.87</v>
      </c>
      <c r="K90" s="14">
        <f>'11'!M39</f>
        <v>1</v>
      </c>
      <c r="L90" s="14">
        <f>'11'!M43</f>
        <v>0.8</v>
      </c>
      <c r="M90" s="14">
        <f>'11'!F26</f>
        <v>0.86</v>
      </c>
      <c r="N90" s="14">
        <f>'11'!F27</f>
        <v>0.86</v>
      </c>
      <c r="O90" s="14">
        <f>'11'!F28</f>
        <v>0.86</v>
      </c>
    </row>
    <row r="91" spans="2:15">
      <c r="C91" s="9" t="s">
        <v>81</v>
      </c>
      <c r="D91" s="39" t="s">
        <v>82</v>
      </c>
      <c r="E91" s="28" t="s">
        <v>83</v>
      </c>
      <c r="F91" s="9">
        <v>0.08</v>
      </c>
      <c r="G91" s="9">
        <v>0.08</v>
      </c>
      <c r="H91" s="9">
        <v>0.08</v>
      </c>
      <c r="I91" s="9">
        <v>0.08</v>
      </c>
      <c r="J91" s="9">
        <v>0.08</v>
      </c>
      <c r="K91" s="78">
        <v>0.09</v>
      </c>
      <c r="L91" s="9">
        <v>0.08</v>
      </c>
      <c r="M91" s="9">
        <v>0.08</v>
      </c>
      <c r="N91" s="9">
        <v>0.08</v>
      </c>
      <c r="O91" s="9">
        <v>0.08</v>
      </c>
    </row>
    <row r="92" spans="2:15">
      <c r="C92" s="9" t="s">
        <v>84</v>
      </c>
      <c r="D92" s="28" t="s">
        <v>85</v>
      </c>
      <c r="E92" s="28" t="s">
        <v>86</v>
      </c>
      <c r="F92" s="15">
        <f>K68</f>
        <v>1281.6753675565692</v>
      </c>
      <c r="G92" s="15">
        <f>K69</f>
        <v>1281.6753675565692</v>
      </c>
      <c r="H92" s="15">
        <f>K70</f>
        <v>93.947476651678912</v>
      </c>
      <c r="I92" s="15">
        <f>K71</f>
        <v>131.70616786125564</v>
      </c>
      <c r="J92" s="15">
        <f>K72</f>
        <v>108.19907593508728</v>
      </c>
      <c r="K92" s="15">
        <f>K73</f>
        <v>170.72185379263124</v>
      </c>
      <c r="L92" s="15">
        <f>K74</f>
        <v>392.59818304894549</v>
      </c>
      <c r="M92" s="15">
        <f>K75</f>
        <v>21.220438923703163</v>
      </c>
      <c r="N92" s="15">
        <f>K76</f>
        <v>41.487150255329773</v>
      </c>
      <c r="O92" s="15">
        <f>K77</f>
        <v>68.9985786822227</v>
      </c>
    </row>
    <row r="93" spans="2:15" s="47" customFormat="1">
      <c r="C93" s="9" t="s">
        <v>379</v>
      </c>
      <c r="D93" s="28" t="s">
        <v>380</v>
      </c>
      <c r="E93" s="28" t="s">
        <v>93</v>
      </c>
      <c r="F93" s="168">
        <v>0.08</v>
      </c>
      <c r="G93" s="168">
        <v>0.08</v>
      </c>
      <c r="H93" s="168">
        <v>0.06</v>
      </c>
      <c r="I93" s="168">
        <v>0.08</v>
      </c>
      <c r="J93" s="168">
        <v>0.08</v>
      </c>
      <c r="K93" s="168">
        <v>0.08</v>
      </c>
      <c r="L93" s="168">
        <v>0.08</v>
      </c>
      <c r="M93" s="168">
        <v>0.08</v>
      </c>
      <c r="N93" s="168">
        <v>0.08</v>
      </c>
      <c r="O93" s="168">
        <v>0.08</v>
      </c>
    </row>
    <row r="94" spans="2:15">
      <c r="C94" s="11" t="s">
        <v>214</v>
      </c>
      <c r="D94" s="29" t="s">
        <v>65</v>
      </c>
      <c r="E94" s="29" t="s">
        <v>23</v>
      </c>
      <c r="F94" s="75">
        <f>F$86*(F$87*F$88/F$89*F$90+F$91/1000*F$88*SIN(ACOS(F$90)))*F$92</f>
        <v>0.91963341616794514</v>
      </c>
      <c r="G94" s="75">
        <f t="shared" ref="G94" si="10">G$86*(G$87*G$88/G$89*G$90+G$91/1000*G$88*SIN(ACOS(G$90)))*G$92</f>
        <v>0.91963341616794514</v>
      </c>
      <c r="H94" s="75">
        <f>H$86*(H$87*H$88/H$89*H$90+H$91/1000*H$88*SIN(ACOS(H$90)))*H$92+$F$94</f>
        <v>2.5956190004034791</v>
      </c>
      <c r="I94" s="75">
        <f t="shared" ref="I94:L94" si="11">I$86*(I$87*I$88/I$89*I$90+I$91/1000*I$88*SIN(ACOS(I$90)))*I$92+$F$94</f>
        <v>25.940883139290253</v>
      </c>
      <c r="J94" s="75">
        <f t="shared" si="11"/>
        <v>11.167830382371179</v>
      </c>
      <c r="K94" s="75">
        <f t="shared" si="11"/>
        <v>4.8706248896545539</v>
      </c>
      <c r="L94" s="75">
        <f t="shared" si="11"/>
        <v>2.3329868751441487</v>
      </c>
      <c r="M94" s="75">
        <f>M$86*(M$87*M$88/M$89*M$90+M$91/1000*M$88*SIN(ACOS(M$90)))*M$92+$F$94+$I$94</f>
        <v>28.413319050889019</v>
      </c>
      <c r="N94" s="75">
        <f t="shared" ref="N94:O94" si="12">N$86*(N$87*N$88/N$89*N$90+N$91/1000*N$88*SIN(ACOS(N$90)))*N$92+$F$94+$I$94</f>
        <v>28.499942302686307</v>
      </c>
      <c r="O94" s="75">
        <f t="shared" si="12"/>
        <v>27.984949854225754</v>
      </c>
    </row>
    <row r="95" spans="2:15">
      <c r="C95" s="11" t="s">
        <v>214</v>
      </c>
      <c r="D95" s="29" t="s">
        <v>92</v>
      </c>
      <c r="E95" s="29" t="s">
        <v>93</v>
      </c>
      <c r="F95" s="42">
        <f>F$94/F$85</f>
        <v>3.9984061572519358E-3</v>
      </c>
      <c r="G95" s="42">
        <f t="shared" ref="G95:O95" si="13">G$94/G$85</f>
        <v>3.9984061572519358E-3</v>
      </c>
      <c r="H95" s="42">
        <f t="shared" si="13"/>
        <v>1.1285300001754256E-2</v>
      </c>
      <c r="I95" s="42">
        <f t="shared" si="13"/>
        <v>0.11278644843169676</v>
      </c>
      <c r="J95" s="42">
        <f t="shared" si="13"/>
        <v>4.8555784271179035E-2</v>
      </c>
      <c r="K95" s="42">
        <f t="shared" si="13"/>
        <v>2.1176629955019798E-2</v>
      </c>
      <c r="L95" s="42">
        <f t="shared" si="13"/>
        <v>1.0143421196278908E-2</v>
      </c>
      <c r="M95" s="42">
        <f t="shared" si="13"/>
        <v>0.123536169786474</v>
      </c>
      <c r="N95" s="42">
        <f t="shared" si="13"/>
        <v>0.12391279262037525</v>
      </c>
      <c r="O95" s="42">
        <f t="shared" si="13"/>
        <v>0.12167369501837284</v>
      </c>
    </row>
    <row r="96" spans="2:15">
      <c r="C96" s="76" t="s">
        <v>215</v>
      </c>
      <c r="D96" s="28" t="s">
        <v>78</v>
      </c>
      <c r="E96" s="28" t="s">
        <v>77</v>
      </c>
      <c r="F96" s="9">
        <f>F89</f>
        <v>600</v>
      </c>
      <c r="G96" s="9">
        <f t="shared" ref="G96:O96" si="14">G89</f>
        <v>600</v>
      </c>
      <c r="H96" s="78">
        <v>25</v>
      </c>
      <c r="I96" s="77">
        <v>70</v>
      </c>
      <c r="J96" s="78">
        <v>16</v>
      </c>
      <c r="K96" s="9">
        <f t="shared" si="14"/>
        <v>70</v>
      </c>
      <c r="L96" s="9">
        <f t="shared" si="14"/>
        <v>300</v>
      </c>
      <c r="M96" s="77">
        <v>6</v>
      </c>
      <c r="N96" s="77">
        <v>16</v>
      </c>
      <c r="O96" s="9">
        <f t="shared" si="14"/>
        <v>25</v>
      </c>
    </row>
    <row r="97" spans="3:15">
      <c r="C97" s="11" t="s">
        <v>216</v>
      </c>
      <c r="D97" s="29" t="s">
        <v>65</v>
      </c>
      <c r="E97" s="29" t="s">
        <v>23</v>
      </c>
      <c r="F97" s="75">
        <f>F$86*(F$87*F$88/F$96*F$90+F$91/1000*F$88*SIN(ACOS(F$90)))*F$92</f>
        <v>0.91963341616794514</v>
      </c>
      <c r="G97" s="75">
        <f>G$86*(G$87*G$88/G$96*G$90+G$91/1000*G$88*SIN(ACOS(G$90)))*G$92</f>
        <v>0.91963341616794514</v>
      </c>
      <c r="H97" s="75">
        <f>H$86*(H$87*H$88/H$96*H$90+H$91/1000*H$88*SIN(ACOS(H$90)))*H$92+$F$97</f>
        <v>2.5956190004034791</v>
      </c>
      <c r="I97" s="75">
        <f t="shared" ref="I97:L97" si="15">I$86*(I$87*I$88/I$96*I$90+I$91/1000*I$88*SIN(ACOS(I$90)))*I$92+$F$97</f>
        <v>14.290531833620326</v>
      </c>
      <c r="J97" s="75">
        <f t="shared" si="15"/>
        <v>11.167830382371179</v>
      </c>
      <c r="K97" s="75">
        <f t="shared" si="15"/>
        <v>4.8706248896545539</v>
      </c>
      <c r="L97" s="75">
        <f t="shared" si="15"/>
        <v>2.3329868751441487</v>
      </c>
      <c r="M97" s="75">
        <f>M$86*(M$87*M$88/M$96*M$90+M$91/1000*M$88*SIN(ACOS(M$90)))*M$92+$F$97+$I$97</f>
        <v>16.249698378752022</v>
      </c>
      <c r="N97" s="75">
        <f t="shared" ref="N97:O97" si="16">N$86*(N$87*N$88/N$96*N$90+N$91/1000*N$88*SIN(ACOS(N$90)))*N$92+$F$97+$I$97</f>
        <v>16.247508728935905</v>
      </c>
      <c r="O97" s="75">
        <f t="shared" si="16"/>
        <v>16.334598548555824</v>
      </c>
    </row>
    <row r="98" spans="3:15">
      <c r="C98" s="11" t="s">
        <v>216</v>
      </c>
      <c r="D98" s="29" t="s">
        <v>92</v>
      </c>
      <c r="E98" s="29" t="s">
        <v>93</v>
      </c>
      <c r="F98" s="42">
        <f>F$97/F$85</f>
        <v>3.9984061572519358E-3</v>
      </c>
      <c r="G98" s="42">
        <f t="shared" ref="G98:O98" si="17">G$97/G$85</f>
        <v>3.9984061572519358E-3</v>
      </c>
      <c r="H98" s="42">
        <f t="shared" si="17"/>
        <v>1.1285300001754256E-2</v>
      </c>
      <c r="I98" s="42">
        <f t="shared" si="17"/>
        <v>6.2132747102697068E-2</v>
      </c>
      <c r="J98" s="42">
        <f t="shared" si="17"/>
        <v>4.8555784271179035E-2</v>
      </c>
      <c r="K98" s="42">
        <f t="shared" si="17"/>
        <v>2.1176629955019798E-2</v>
      </c>
      <c r="L98" s="42">
        <f t="shared" si="17"/>
        <v>1.0143421196278908E-2</v>
      </c>
      <c r="M98" s="42">
        <f t="shared" si="17"/>
        <v>7.065086251631314E-2</v>
      </c>
      <c r="N98" s="42">
        <f t="shared" si="17"/>
        <v>7.0641342299721327E-2</v>
      </c>
      <c r="O98" s="42">
        <f t="shared" si="17"/>
        <v>7.1019993689373145E-2</v>
      </c>
    </row>
  </sheetData>
  <mergeCells count="1">
    <mergeCell ref="C75:C77"/>
  </mergeCells>
  <dataValidations count="9">
    <dataValidation type="list" allowBlank="1" showInputMessage="1" showErrorMessage="1" sqref="F12">
      <formula1>M14:M15</formula1>
    </dataValidation>
    <dataValidation type="list" allowBlank="1" showInputMessage="1" showErrorMessage="1" sqref="F11">
      <formula1>M10:M11</formula1>
    </dataValidation>
    <dataValidation type="list" allowBlank="1" showInputMessage="1" showErrorMessage="1" sqref="F31">
      <formula1>K31:K32</formula1>
    </dataValidation>
    <dataValidation type="list" allowBlank="1" showInputMessage="1" showErrorMessage="1" sqref="F32">
      <formula1>K34:K35</formula1>
    </dataValidation>
    <dataValidation type="list" allowBlank="1" showInputMessage="1" showErrorMessage="1" sqref="F47">
      <formula1>K41:K45</formula1>
    </dataValidation>
    <dataValidation type="list" allowBlank="1" showInputMessage="1" showErrorMessage="1" sqref="F86:O86">
      <formula1>$M$10:$M$11</formula1>
    </dataValidation>
    <dataValidation type="list" allowBlank="1" showInputMessage="1" showErrorMessage="1" sqref="F87:O87">
      <formula1>$M$14:$M$15</formula1>
    </dataValidation>
    <dataValidation type="list" allowBlank="1" showInputMessage="1" showErrorMessage="1" sqref="F45 L68:L77">
      <formula1>$O$31:$O$63</formula1>
    </dataValidation>
    <dataValidation type="list" allowBlank="1" showInputMessage="1" showErrorMessage="1" sqref="F33 D68:D77">
      <formula1>$M$31:$M$39</formula1>
    </dataValidation>
  </dataValidations>
  <pageMargins left="0.7" right="0.7" top="0.75" bottom="0.75" header="0.3" footer="0.3"/>
  <pageSetup paperSize="9" orientation="portrait" r:id="rId1"/>
  <legacyDrawing r:id="rId2"/>
  <oleObjects>
    <oleObject progId="Equation.3" shapeId="2049" r:id="rId3"/>
  </oleObjects>
</worksheet>
</file>

<file path=xl/worksheets/sheet7.xml><?xml version="1.0" encoding="utf-8"?>
<worksheet xmlns="http://schemas.openxmlformats.org/spreadsheetml/2006/main" xmlns:r="http://schemas.openxmlformats.org/officeDocument/2006/relationships">
  <dimension ref="B2:N40"/>
  <sheetViews>
    <sheetView workbookViewId="0">
      <selection activeCell="H20" sqref="H20"/>
    </sheetView>
  </sheetViews>
  <sheetFormatPr defaultRowHeight="15"/>
  <cols>
    <col min="2" max="2" width="8.140625" customWidth="1"/>
    <col min="3" max="3" width="10.7109375" customWidth="1"/>
    <col min="4" max="4" width="7.85546875" customWidth="1"/>
    <col min="6" max="6" width="8.7109375" customWidth="1"/>
    <col min="7" max="7" width="16.28515625" bestFit="1" customWidth="1"/>
    <col min="8" max="8" width="15" style="5" bestFit="1" customWidth="1"/>
    <col min="9" max="9" width="13.42578125" style="5" bestFit="1" customWidth="1"/>
    <col min="10" max="10" width="20.140625" style="5" customWidth="1"/>
    <col min="11" max="12" width="11.7109375" style="5" customWidth="1"/>
    <col min="13" max="13" width="11.7109375" customWidth="1"/>
    <col min="14" max="14" width="9.140625" style="4"/>
  </cols>
  <sheetData>
    <row r="2" spans="6:14">
      <c r="H2" s="5" t="s">
        <v>329</v>
      </c>
    </row>
    <row r="4" spans="6:14">
      <c r="H4" s="5" t="s">
        <v>326</v>
      </c>
      <c r="I4" s="5" t="s">
        <v>330</v>
      </c>
      <c r="J4" s="5" t="s">
        <v>331</v>
      </c>
      <c r="K4" s="5" t="s">
        <v>340</v>
      </c>
      <c r="L4" s="5" t="s">
        <v>341</v>
      </c>
      <c r="M4" s="5" t="s">
        <v>342</v>
      </c>
      <c r="N4" s="38" t="s">
        <v>375</v>
      </c>
    </row>
    <row r="5" spans="6:14">
      <c r="H5" s="5" t="s">
        <v>327</v>
      </c>
      <c r="I5" s="5" t="s">
        <v>327</v>
      </c>
      <c r="J5" s="5" t="s">
        <v>327</v>
      </c>
      <c r="K5" s="5" t="s">
        <v>327</v>
      </c>
      <c r="L5" s="5" t="s">
        <v>327</v>
      </c>
      <c r="M5" s="5" t="s">
        <v>327</v>
      </c>
      <c r="N5" s="38" t="s">
        <v>227</v>
      </c>
    </row>
    <row r="7" spans="6:14">
      <c r="F7" s="2"/>
      <c r="G7" s="2"/>
      <c r="H7" s="6" t="s">
        <v>334</v>
      </c>
      <c r="I7" s="6" t="s">
        <v>335</v>
      </c>
      <c r="J7" s="6" t="s">
        <v>336</v>
      </c>
      <c r="K7" s="6"/>
      <c r="L7" s="6"/>
      <c r="M7" s="6"/>
    </row>
    <row r="8" spans="6:14">
      <c r="F8" s="2" t="s">
        <v>328</v>
      </c>
      <c r="G8" s="2" t="s">
        <v>325</v>
      </c>
      <c r="H8" s="138">
        <f>I8*0.1</f>
        <v>3.5103600000000006E-2</v>
      </c>
      <c r="I8" s="138">
        <f>J8*0.995</f>
        <v>0.35103600000000001</v>
      </c>
      <c r="J8" s="138">
        <f>(D29*D30)^2/(D28*10^6)*1000</f>
        <v>0.3528</v>
      </c>
      <c r="K8" s="138">
        <f>H8</f>
        <v>3.5103600000000006E-2</v>
      </c>
      <c r="L8" s="138">
        <f>I8</f>
        <v>0.35103600000000001</v>
      </c>
      <c r="M8" s="139">
        <f>J8</f>
        <v>0.3528</v>
      </c>
      <c r="N8" s="41">
        <f>$D$27*$D$29*$D$30/(SQRT(3)*M8)</f>
        <v>721.6878364870322</v>
      </c>
    </row>
    <row r="9" spans="6:14">
      <c r="N9" s="147"/>
    </row>
    <row r="10" spans="6:14" ht="31.5" customHeight="1">
      <c r="F10" s="135" t="s">
        <v>332</v>
      </c>
      <c r="G10" s="135" t="s">
        <v>333</v>
      </c>
      <c r="H10" s="136" t="s">
        <v>345</v>
      </c>
      <c r="I10" s="136" t="s">
        <v>346</v>
      </c>
      <c r="J10" s="137" t="s">
        <v>349</v>
      </c>
      <c r="K10" s="137"/>
      <c r="L10" s="137"/>
      <c r="M10" s="135"/>
      <c r="N10" s="147"/>
    </row>
    <row r="11" spans="6:14">
      <c r="F11" s="135"/>
      <c r="G11" s="135"/>
      <c r="H11" s="140">
        <f>0.31*J11</f>
        <v>4.1012999999999993</v>
      </c>
      <c r="I11" s="140">
        <f>0.95*J11</f>
        <v>12.568499999999998</v>
      </c>
      <c r="J11" s="141">
        <f>(D29*D30)^2*D32/D31/1000/100*1000</f>
        <v>13.229999999999999</v>
      </c>
      <c r="K11" s="142">
        <f t="shared" ref="K11:L11" si="0">H11+H8</f>
        <v>4.1364035999999995</v>
      </c>
      <c r="L11" s="142">
        <f t="shared" si="0"/>
        <v>12.919535999999999</v>
      </c>
      <c r="M11" s="142">
        <f>SQRT(K11^2+L11^2)</f>
        <v>13.565553626645281</v>
      </c>
      <c r="N11" s="41">
        <f>$D$27*$D$29*$D$30/(SQRT(3)*M11)</f>
        <v>18.76896997499022</v>
      </c>
    </row>
    <row r="12" spans="6:14">
      <c r="N12" s="147"/>
    </row>
    <row r="13" spans="6:14" ht="30">
      <c r="F13" s="2" t="s">
        <v>350</v>
      </c>
      <c r="G13" s="2" t="s">
        <v>368</v>
      </c>
      <c r="H13" s="2" t="s">
        <v>356</v>
      </c>
      <c r="I13" s="6" t="s">
        <v>358</v>
      </c>
      <c r="J13" s="134" t="s">
        <v>357</v>
      </c>
      <c r="K13" s="134"/>
      <c r="L13" s="134"/>
      <c r="M13" s="2"/>
      <c r="N13" s="147"/>
    </row>
    <row r="14" spans="6:14">
      <c r="F14" s="2"/>
      <c r="G14" s="2"/>
      <c r="H14" s="138">
        <f>D33*D35/D36*1000</f>
        <v>0.15624999999999997</v>
      </c>
      <c r="I14" s="138">
        <f>0.08*D35/3</f>
        <v>0.13333333333333333</v>
      </c>
      <c r="J14" s="138">
        <f>SQRT(H14^2+I14^2)</f>
        <v>0.20540652442845569</v>
      </c>
      <c r="K14" s="138">
        <f>K11+H14</f>
        <v>4.2926535999999995</v>
      </c>
      <c r="L14" s="138">
        <f>L11+I14</f>
        <v>13.052869333333332</v>
      </c>
      <c r="M14" s="139">
        <f>SQRT(K14^2+L14^2)</f>
        <v>13.740606710137174</v>
      </c>
      <c r="N14" s="41">
        <f>$D$27*$D$29*$D$30/(SQRT(3)*M14)</f>
        <v>18.529856365424141</v>
      </c>
    </row>
    <row r="15" spans="6:14">
      <c r="N15" s="147"/>
    </row>
    <row r="16" spans="6:14" ht="30">
      <c r="F16" s="135" t="s">
        <v>367</v>
      </c>
      <c r="G16" s="135" t="s">
        <v>369</v>
      </c>
      <c r="H16" s="136" t="s">
        <v>347</v>
      </c>
      <c r="I16" s="137" t="s">
        <v>348</v>
      </c>
      <c r="J16" s="137" t="s">
        <v>359</v>
      </c>
      <c r="K16" s="137"/>
      <c r="L16" s="137"/>
      <c r="M16" s="135"/>
      <c r="N16" s="147"/>
    </row>
    <row r="17" spans="2:14">
      <c r="F17" s="135"/>
      <c r="G17" s="135"/>
      <c r="H17" s="141">
        <v>0</v>
      </c>
      <c r="I17" s="141">
        <f>0.15</f>
        <v>0.15</v>
      </c>
      <c r="J17" s="141">
        <f>I17</f>
        <v>0.15</v>
      </c>
      <c r="K17" s="140">
        <f>K14+H17</f>
        <v>4.2926535999999995</v>
      </c>
      <c r="L17" s="140">
        <f>L14+I17</f>
        <v>13.202869333333332</v>
      </c>
      <c r="M17" s="142">
        <f>SQRT(K17^2+L17^2)</f>
        <v>13.883178078619704</v>
      </c>
      <c r="N17" s="41">
        <f>$D$27*$D$29*$D$30/(SQRT(3)*M17)</f>
        <v>18.339566579840273</v>
      </c>
    </row>
    <row r="18" spans="2:14">
      <c r="N18" s="147"/>
    </row>
    <row r="19" spans="2:14" ht="30">
      <c r="F19" s="2" t="s">
        <v>360</v>
      </c>
      <c r="G19" s="2" t="s">
        <v>361</v>
      </c>
      <c r="H19" s="2" t="s">
        <v>362</v>
      </c>
      <c r="I19" s="134" t="s">
        <v>363</v>
      </c>
      <c r="J19" s="134" t="s">
        <v>364</v>
      </c>
      <c r="K19" s="134"/>
      <c r="L19" s="134"/>
      <c r="M19" s="2"/>
      <c r="N19" s="147"/>
    </row>
    <row r="20" spans="2:14">
      <c r="F20" s="2"/>
      <c r="G20" s="2"/>
      <c r="H20" s="138">
        <f>D33*D37/D38*1000</f>
        <v>0.22499999999999998</v>
      </c>
      <c r="I20" s="138">
        <f>0.15*D37</f>
        <v>0.75</v>
      </c>
      <c r="J20" s="138">
        <f>SQRT(H20^2+I20^2)</f>
        <v>0.7830229881682913</v>
      </c>
      <c r="K20" s="138">
        <f>K17+H20</f>
        <v>4.5176535999999992</v>
      </c>
      <c r="L20" s="138">
        <f>L17+I20</f>
        <v>13.952869333333332</v>
      </c>
      <c r="M20" s="139">
        <f>SQRT(K20^2+L20^2)</f>
        <v>14.66600684176394</v>
      </c>
      <c r="N20" s="41">
        <f>$D$27*$D$29*$D$30/(SQRT(3)*M20)</f>
        <v>17.36065388893558</v>
      </c>
    </row>
    <row r="21" spans="2:14">
      <c r="N21" s="147"/>
    </row>
    <row r="22" spans="2:14" ht="30">
      <c r="F22" s="135" t="s">
        <v>370</v>
      </c>
      <c r="G22" s="135" t="s">
        <v>371</v>
      </c>
      <c r="H22" s="136" t="s">
        <v>347</v>
      </c>
      <c r="I22" s="137" t="s">
        <v>348</v>
      </c>
      <c r="J22" s="137" t="s">
        <v>359</v>
      </c>
      <c r="K22" s="137"/>
      <c r="L22" s="137"/>
      <c r="M22" s="135"/>
      <c r="N22" s="147"/>
    </row>
    <row r="23" spans="2:14">
      <c r="F23" s="135"/>
      <c r="G23" s="135"/>
      <c r="H23" s="141">
        <v>0</v>
      </c>
      <c r="I23" s="141">
        <f>0.15</f>
        <v>0.15</v>
      </c>
      <c r="J23" s="141">
        <f>I23</f>
        <v>0.15</v>
      </c>
      <c r="K23" s="140">
        <f>K20+H23</f>
        <v>4.5176535999999992</v>
      </c>
      <c r="L23" s="140">
        <f>L20+I23</f>
        <v>14.102869333333333</v>
      </c>
      <c r="M23" s="142">
        <f>SQRT(K23^2+L23^2)</f>
        <v>14.808785145401588</v>
      </c>
      <c r="N23" s="41">
        <f>$D$27*$D$29*$D$30/(SQRT(3)*M23)</f>
        <v>17.193271845914161</v>
      </c>
    </row>
    <row r="24" spans="2:14">
      <c r="N24" s="147"/>
    </row>
    <row r="25" spans="2:14" ht="30">
      <c r="F25" s="2" t="s">
        <v>372</v>
      </c>
      <c r="G25" s="2" t="s">
        <v>368</v>
      </c>
      <c r="H25" s="2" t="s">
        <v>502</v>
      </c>
      <c r="I25" s="6" t="s">
        <v>503</v>
      </c>
      <c r="J25" s="134" t="s">
        <v>504</v>
      </c>
      <c r="K25" s="134"/>
      <c r="L25" s="134"/>
      <c r="M25" s="2"/>
      <c r="N25" s="147"/>
    </row>
    <row r="26" spans="2:14">
      <c r="F26" s="2"/>
      <c r="G26" s="2"/>
      <c r="H26" s="138">
        <f>D33*D39/D40*1000</f>
        <v>23.684210526315791</v>
      </c>
      <c r="I26" s="138">
        <f>0.08*D39</f>
        <v>8</v>
      </c>
      <c r="J26" s="138">
        <f>SQRT(H26^2+I26^2)</f>
        <v>24.998836538024079</v>
      </c>
      <c r="K26" s="138">
        <f>K23+H26</f>
        <v>28.20186412631579</v>
      </c>
      <c r="L26" s="138">
        <f>L23+I26</f>
        <v>22.102869333333331</v>
      </c>
      <c r="M26" s="139">
        <f>SQRT(K26^2+L26^2)</f>
        <v>35.831298789823187</v>
      </c>
      <c r="N26" s="41">
        <f>$D$27*$D$29*$D$30/(SQRT(3)*M26)</f>
        <v>7.105839791242504</v>
      </c>
    </row>
    <row r="27" spans="2:14">
      <c r="B27" s="143" t="s">
        <v>376</v>
      </c>
      <c r="C27" s="145" t="s">
        <v>3</v>
      </c>
      <c r="D27" s="143">
        <v>1.05</v>
      </c>
    </row>
    <row r="28" spans="2:14" ht="15.75" thickBot="1">
      <c r="B28" s="143" t="s">
        <v>338</v>
      </c>
      <c r="C28" s="145" t="s">
        <v>339</v>
      </c>
      <c r="D28" s="143">
        <v>500</v>
      </c>
      <c r="H28" s="133"/>
      <c r="I28" s="133"/>
    </row>
    <row r="29" spans="2:14">
      <c r="B29" s="143" t="s">
        <v>75</v>
      </c>
      <c r="C29" s="145" t="s">
        <v>3</v>
      </c>
      <c r="D29" s="143">
        <v>1.05</v>
      </c>
      <c r="H29" s="148" t="str">
        <f>H4</f>
        <v>Resistência</v>
      </c>
      <c r="I29" s="149" t="str">
        <f t="shared" ref="I29:N29" si="1">I4</f>
        <v>Reatância</v>
      </c>
      <c r="J29" s="150" t="str">
        <f t="shared" si="1"/>
        <v>Impedância</v>
      </c>
      <c r="K29" s="148" t="str">
        <f t="shared" si="1"/>
        <v>R.acum</v>
      </c>
      <c r="L29" s="149" t="str">
        <f t="shared" si="1"/>
        <v>X.acum</v>
      </c>
      <c r="M29" s="150" t="str">
        <f t="shared" si="1"/>
        <v>Z.acum</v>
      </c>
      <c r="N29" s="158" t="str">
        <f t="shared" si="1"/>
        <v>Ik3</v>
      </c>
    </row>
    <row r="30" spans="2:14" ht="15.75" thickBot="1">
      <c r="B30" s="143" t="s">
        <v>337</v>
      </c>
      <c r="C30" s="145" t="s">
        <v>23</v>
      </c>
      <c r="D30" s="143">
        <v>400</v>
      </c>
      <c r="H30" s="151" t="s">
        <v>327</v>
      </c>
      <c r="I30" s="18" t="s">
        <v>327</v>
      </c>
      <c r="J30" s="152" t="s">
        <v>327</v>
      </c>
      <c r="K30" s="151" t="s">
        <v>327</v>
      </c>
      <c r="L30" s="18" t="s">
        <v>327</v>
      </c>
      <c r="M30" s="152" t="s">
        <v>327</v>
      </c>
      <c r="N30" s="159" t="str">
        <f t="shared" ref="N30" si="2">N5</f>
        <v>kA</v>
      </c>
    </row>
    <row r="31" spans="2:14">
      <c r="B31" s="143" t="s">
        <v>343</v>
      </c>
      <c r="C31" s="145" t="s">
        <v>2</v>
      </c>
      <c r="D31" s="143">
        <v>800</v>
      </c>
      <c r="F31" s="162" t="str">
        <f>F8</f>
        <v>Za</v>
      </c>
      <c r="G31" s="163" t="str">
        <f>G8</f>
        <v>Rede a montante</v>
      </c>
      <c r="H31" s="153">
        <f t="shared" ref="H31:N31" si="3">H8</f>
        <v>3.5103600000000006E-2</v>
      </c>
      <c r="I31" s="14">
        <f t="shared" si="3"/>
        <v>0.35103600000000001</v>
      </c>
      <c r="J31" s="154">
        <f t="shared" si="3"/>
        <v>0.3528</v>
      </c>
      <c r="K31" s="153">
        <f t="shared" si="3"/>
        <v>3.5103600000000006E-2</v>
      </c>
      <c r="L31" s="14">
        <f t="shared" si="3"/>
        <v>0.35103600000000001</v>
      </c>
      <c r="M31" s="154">
        <f t="shared" si="3"/>
        <v>0.3528</v>
      </c>
      <c r="N31" s="160">
        <f t="shared" si="3"/>
        <v>721.6878364870322</v>
      </c>
    </row>
    <row r="32" spans="2:14">
      <c r="B32" s="143" t="s">
        <v>344</v>
      </c>
      <c r="C32" s="145" t="s">
        <v>93</v>
      </c>
      <c r="D32" s="143">
        <v>6</v>
      </c>
      <c r="F32" s="164" t="str">
        <f>F10</f>
        <v>Zt</v>
      </c>
      <c r="G32" s="165" t="str">
        <f>G10</f>
        <v>Transformador</v>
      </c>
      <c r="H32" s="153">
        <f>H11</f>
        <v>4.1012999999999993</v>
      </c>
      <c r="I32" s="14">
        <f t="shared" ref="I32:N32" si="4">I11</f>
        <v>12.568499999999998</v>
      </c>
      <c r="J32" s="154">
        <f t="shared" si="4"/>
        <v>13.229999999999999</v>
      </c>
      <c r="K32" s="153">
        <f t="shared" si="4"/>
        <v>4.1364035999999995</v>
      </c>
      <c r="L32" s="14">
        <f t="shared" si="4"/>
        <v>12.919535999999999</v>
      </c>
      <c r="M32" s="154">
        <f t="shared" si="4"/>
        <v>13.565553626645281</v>
      </c>
      <c r="N32" s="160">
        <f t="shared" si="4"/>
        <v>18.76896997499022</v>
      </c>
    </row>
    <row r="33" spans="2:14">
      <c r="B33" s="144" t="s">
        <v>351</v>
      </c>
      <c r="C33" s="146" t="s">
        <v>353</v>
      </c>
      <c r="D33" s="143">
        <v>2.2499999999999999E-2</v>
      </c>
      <c r="F33" s="164" t="str">
        <f>F13</f>
        <v>Zcabo1</v>
      </c>
      <c r="G33" s="165" t="str">
        <f>G13</f>
        <v>Cabo QGBT-D1</v>
      </c>
      <c r="H33" s="153">
        <f>H14</f>
        <v>0.15624999999999997</v>
      </c>
      <c r="I33" s="14">
        <f t="shared" ref="I33:N33" si="5">I14</f>
        <v>0.13333333333333333</v>
      </c>
      <c r="J33" s="154">
        <f t="shared" si="5"/>
        <v>0.20540652442845569</v>
      </c>
      <c r="K33" s="153">
        <f t="shared" si="5"/>
        <v>4.2926535999999995</v>
      </c>
      <c r="L33" s="14">
        <f t="shared" si="5"/>
        <v>13.052869333333332</v>
      </c>
      <c r="M33" s="154">
        <f t="shared" si="5"/>
        <v>13.740606710137174</v>
      </c>
      <c r="N33" s="160">
        <f t="shared" si="5"/>
        <v>18.529856365424141</v>
      </c>
    </row>
    <row r="34" spans="2:14">
      <c r="B34" s="144" t="s">
        <v>352</v>
      </c>
      <c r="C34" s="146" t="s">
        <v>353</v>
      </c>
      <c r="D34" s="143">
        <v>3.5999999999999997E-2</v>
      </c>
      <c r="F34" s="164" t="str">
        <f>F16</f>
        <v>Zd1</v>
      </c>
      <c r="G34" s="165" t="str">
        <f>G16</f>
        <v>Disjuntor1</v>
      </c>
      <c r="H34" s="153">
        <f>H17</f>
        <v>0</v>
      </c>
      <c r="I34" s="14">
        <f t="shared" ref="I34:N34" si="6">I17</f>
        <v>0.15</v>
      </c>
      <c r="J34" s="154">
        <f t="shared" si="6"/>
        <v>0.15</v>
      </c>
      <c r="K34" s="153">
        <f t="shared" si="6"/>
        <v>4.2926535999999995</v>
      </c>
      <c r="L34" s="14">
        <f t="shared" si="6"/>
        <v>13.202869333333332</v>
      </c>
      <c r="M34" s="154">
        <f t="shared" si="6"/>
        <v>13.883178078619704</v>
      </c>
      <c r="N34" s="160">
        <f t="shared" si="6"/>
        <v>18.339566579840273</v>
      </c>
    </row>
    <row r="35" spans="2:14">
      <c r="B35" s="143" t="s">
        <v>354</v>
      </c>
      <c r="C35" s="145" t="s">
        <v>75</v>
      </c>
      <c r="D35" s="143">
        <v>5</v>
      </c>
      <c r="F35" s="164" t="str">
        <f>F19</f>
        <v>Zb</v>
      </c>
      <c r="G35" s="165" t="str">
        <f>G19</f>
        <v>Barramento</v>
      </c>
      <c r="H35" s="153">
        <f>H20</f>
        <v>0.22499999999999998</v>
      </c>
      <c r="I35" s="14">
        <f t="shared" ref="I35:N35" si="7">I20</f>
        <v>0.75</v>
      </c>
      <c r="J35" s="154">
        <f t="shared" si="7"/>
        <v>0.7830229881682913</v>
      </c>
      <c r="K35" s="153">
        <f t="shared" si="7"/>
        <v>4.5176535999999992</v>
      </c>
      <c r="L35" s="14">
        <f t="shared" si="7"/>
        <v>13.952869333333332</v>
      </c>
      <c r="M35" s="154">
        <f t="shared" si="7"/>
        <v>14.66600684176394</v>
      </c>
      <c r="N35" s="160">
        <f t="shared" si="7"/>
        <v>17.36065388893558</v>
      </c>
    </row>
    <row r="36" spans="2:14">
      <c r="B36" s="143" t="s">
        <v>355</v>
      </c>
      <c r="C36" s="145" t="s">
        <v>77</v>
      </c>
      <c r="D36" s="143">
        <f>240*3</f>
        <v>720</v>
      </c>
      <c r="F36" s="164" t="str">
        <f>F22</f>
        <v>Zd2</v>
      </c>
      <c r="G36" s="165" t="str">
        <f>G22</f>
        <v>Disjuntor2</v>
      </c>
      <c r="H36" s="153">
        <f>H23</f>
        <v>0</v>
      </c>
      <c r="I36" s="14">
        <f t="shared" ref="I36:N36" si="8">I23</f>
        <v>0.15</v>
      </c>
      <c r="J36" s="154">
        <f t="shared" si="8"/>
        <v>0.15</v>
      </c>
      <c r="K36" s="153">
        <f t="shared" si="8"/>
        <v>4.5176535999999992</v>
      </c>
      <c r="L36" s="14">
        <f t="shared" si="8"/>
        <v>14.102869333333333</v>
      </c>
      <c r="M36" s="154">
        <f t="shared" si="8"/>
        <v>14.808785145401588</v>
      </c>
      <c r="N36" s="160">
        <f t="shared" si="8"/>
        <v>17.193271845914161</v>
      </c>
    </row>
    <row r="37" spans="2:14" ht="15.75" thickBot="1">
      <c r="B37" s="143" t="s">
        <v>365</v>
      </c>
      <c r="C37" s="145" t="s">
        <v>75</v>
      </c>
      <c r="D37" s="143">
        <v>5</v>
      </c>
      <c r="F37" s="166" t="str">
        <f>F25</f>
        <v>Zcabo2</v>
      </c>
      <c r="G37" s="167" t="str">
        <f>G25</f>
        <v>Cabo QGBT-D1</v>
      </c>
      <c r="H37" s="155">
        <f>H26</f>
        <v>23.684210526315791</v>
      </c>
      <c r="I37" s="156">
        <f t="shared" ref="I37:N37" si="9">I26</f>
        <v>8</v>
      </c>
      <c r="J37" s="157">
        <f t="shared" si="9"/>
        <v>24.998836538024079</v>
      </c>
      <c r="K37" s="155">
        <f t="shared" si="9"/>
        <v>28.20186412631579</v>
      </c>
      <c r="L37" s="156">
        <f t="shared" si="9"/>
        <v>22.102869333333331</v>
      </c>
      <c r="M37" s="157">
        <f t="shared" si="9"/>
        <v>35.831298789823187</v>
      </c>
      <c r="N37" s="161">
        <f t="shared" si="9"/>
        <v>7.105839791242504</v>
      </c>
    </row>
    <row r="38" spans="2:14">
      <c r="B38" s="143" t="s">
        <v>366</v>
      </c>
      <c r="C38" s="145" t="s">
        <v>77</v>
      </c>
      <c r="D38" s="143">
        <f>100*5</f>
        <v>500</v>
      </c>
    </row>
    <row r="39" spans="2:14">
      <c r="B39" s="143" t="s">
        <v>373</v>
      </c>
      <c r="C39" s="145" t="s">
        <v>75</v>
      </c>
      <c r="D39" s="143">
        <v>100</v>
      </c>
    </row>
    <row r="40" spans="2:14">
      <c r="B40" s="143" t="s">
        <v>374</v>
      </c>
      <c r="C40" s="145" t="s">
        <v>77</v>
      </c>
      <c r="D40" s="143">
        <v>95</v>
      </c>
    </row>
  </sheetData>
  <pageMargins left="0.7" right="0.7" top="0.75" bottom="0.75" header="0.3" footer="0.3"/>
  <pageSetup paperSize="9" orientation="portrait" r:id="rId1"/>
  <drawing r:id="rId2"/>
  <legacyDrawing r:id="rId3"/>
  <oleObjects>
    <oleObject progId="Equation.3" shapeId="5125" r:id="rId4"/>
    <oleObject progId="Equation.3" shapeId="5127" r:id="rId5"/>
    <oleObject progId="Equation.3" shapeId="5129" r:id="rId6"/>
  </oleObjects>
</worksheet>
</file>

<file path=xl/worksheets/sheet8.xml><?xml version="1.0" encoding="utf-8"?>
<worksheet xmlns="http://schemas.openxmlformats.org/spreadsheetml/2006/main" xmlns:r="http://schemas.openxmlformats.org/officeDocument/2006/relationships">
  <dimension ref="B2:N68"/>
  <sheetViews>
    <sheetView workbookViewId="0">
      <selection activeCell="N44" sqref="N44"/>
    </sheetView>
  </sheetViews>
  <sheetFormatPr defaultColWidth="9.140625" defaultRowHeight="15"/>
  <cols>
    <col min="1" max="1" width="9.140625" style="47"/>
    <col min="2" max="2" width="8.140625" style="47" customWidth="1"/>
    <col min="3" max="3" width="10.7109375" style="47" customWidth="1"/>
    <col min="4" max="4" width="7.85546875" style="47" customWidth="1"/>
    <col min="5" max="5" width="9.140625" style="47"/>
    <col min="6" max="6" width="8.7109375" style="47" customWidth="1"/>
    <col min="7" max="7" width="16.28515625" style="47" bestFit="1" customWidth="1"/>
    <col min="8" max="8" width="15" style="5" bestFit="1" customWidth="1"/>
    <col min="9" max="9" width="13.42578125" style="5" bestFit="1" customWidth="1"/>
    <col min="10" max="10" width="20.140625" style="5" customWidth="1"/>
    <col min="11" max="12" width="11.7109375" style="5" customWidth="1"/>
    <col min="13" max="13" width="11.7109375" style="47" customWidth="1"/>
    <col min="14" max="14" width="9.140625" style="4"/>
    <col min="15" max="16384" width="9.140625" style="47"/>
  </cols>
  <sheetData>
    <row r="2" spans="2:14">
      <c r="H2" s="5" t="s">
        <v>329</v>
      </c>
    </row>
    <row r="4" spans="2:14">
      <c r="H4" s="5" t="s">
        <v>326</v>
      </c>
      <c r="I4" s="5" t="s">
        <v>330</v>
      </c>
      <c r="J4" s="5" t="s">
        <v>331</v>
      </c>
      <c r="K4" s="5" t="s">
        <v>340</v>
      </c>
      <c r="L4" s="5" t="s">
        <v>341</v>
      </c>
      <c r="M4" s="5" t="s">
        <v>342</v>
      </c>
      <c r="N4" s="38" t="s">
        <v>375</v>
      </c>
    </row>
    <row r="5" spans="2:14">
      <c r="H5" s="5" t="s">
        <v>327</v>
      </c>
      <c r="I5" s="5" t="s">
        <v>327</v>
      </c>
      <c r="J5" s="5" t="s">
        <v>327</v>
      </c>
      <c r="K5" s="5" t="s">
        <v>327</v>
      </c>
      <c r="L5" s="5" t="s">
        <v>327</v>
      </c>
      <c r="M5" s="5" t="s">
        <v>327</v>
      </c>
      <c r="N5" s="38" t="s">
        <v>227</v>
      </c>
    </row>
    <row r="7" spans="2:14">
      <c r="F7" s="2"/>
      <c r="G7" s="2"/>
      <c r="H7" s="6" t="s">
        <v>334</v>
      </c>
      <c r="I7" s="6" t="s">
        <v>335</v>
      </c>
      <c r="J7" s="6" t="s">
        <v>336</v>
      </c>
      <c r="K7" s="6"/>
      <c r="L7" s="6"/>
      <c r="M7" s="6"/>
    </row>
    <row r="8" spans="2:14">
      <c r="F8" s="2" t="s">
        <v>328</v>
      </c>
      <c r="G8" s="2" t="s">
        <v>325</v>
      </c>
      <c r="H8" s="138">
        <f>I8*0.1</f>
        <v>3.5103600000000006E-2</v>
      </c>
      <c r="I8" s="138">
        <f>J8*0.995</f>
        <v>0.35103600000000001</v>
      </c>
      <c r="J8" s="138">
        <f>(D29*D30)^2/(D28*10^6)*1000</f>
        <v>0.3528</v>
      </c>
      <c r="K8" s="138">
        <f>H8</f>
        <v>3.5103600000000006E-2</v>
      </c>
      <c r="L8" s="138">
        <f>I8</f>
        <v>0.35103600000000001</v>
      </c>
      <c r="M8" s="139">
        <f>J8</f>
        <v>0.3528</v>
      </c>
      <c r="N8" s="41">
        <f>$D$27*$D$29*$D$30/(SQRT(3)*M8)</f>
        <v>721.6878364870322</v>
      </c>
    </row>
    <row r="9" spans="2:14">
      <c r="N9" s="147"/>
    </row>
    <row r="10" spans="2:14" ht="31.5" customHeight="1">
      <c r="B10" s="189" t="s">
        <v>505</v>
      </c>
      <c r="C10" s="2"/>
      <c r="F10" s="135" t="s">
        <v>332</v>
      </c>
      <c r="G10" s="135" t="s">
        <v>333</v>
      </c>
      <c r="H10" s="136" t="s">
        <v>345</v>
      </c>
      <c r="I10" s="136" t="s">
        <v>346</v>
      </c>
      <c r="J10" s="137" t="s">
        <v>349</v>
      </c>
      <c r="K10" s="137"/>
      <c r="L10" s="137"/>
      <c r="M10" s="135"/>
      <c r="N10" s="147"/>
    </row>
    <row r="11" spans="2:14">
      <c r="F11" s="135"/>
      <c r="G11" s="135"/>
      <c r="H11" s="140">
        <f>0.31*J11</f>
        <v>1.3671</v>
      </c>
      <c r="I11" s="140">
        <f>0.95*J11</f>
        <v>4.1894999999999998</v>
      </c>
      <c r="J11" s="140">
        <f>(D29*D30)^2*D32/D31/1000/100*1000</f>
        <v>4.41</v>
      </c>
      <c r="K11" s="142">
        <f t="shared" ref="K11:L11" si="0">H11+H8</f>
        <v>1.4022036</v>
      </c>
      <c r="L11" s="142">
        <f t="shared" si="0"/>
        <v>4.5405359999999995</v>
      </c>
      <c r="M11" s="142">
        <f>SQRT(K11^2+L11^2)</f>
        <v>4.7521197484016486</v>
      </c>
      <c r="N11" s="41">
        <f>$D$27*$D$29*$D$30/(SQRT(3)*M11)</f>
        <v>53.57850437128868</v>
      </c>
    </row>
    <row r="12" spans="2:14">
      <c r="N12" s="147"/>
    </row>
    <row r="13" spans="2:14" ht="30">
      <c r="F13" s="2" t="s">
        <v>350</v>
      </c>
      <c r="G13" s="2" t="s">
        <v>368</v>
      </c>
      <c r="H13" s="2" t="s">
        <v>514</v>
      </c>
      <c r="I13" s="6" t="s">
        <v>529</v>
      </c>
      <c r="J13" s="134" t="s">
        <v>357</v>
      </c>
      <c r="K13" s="134"/>
      <c r="L13" s="134"/>
      <c r="M13" s="2"/>
      <c r="N13" s="147"/>
    </row>
    <row r="14" spans="2:14">
      <c r="F14" s="2" t="s">
        <v>512</v>
      </c>
      <c r="G14" s="2"/>
      <c r="H14" s="138">
        <f>D33*D35/D36*1000/2</f>
        <v>0.18749999999999997</v>
      </c>
      <c r="I14" s="138">
        <f>0.085*D35/4/2</f>
        <v>0.10625000000000001</v>
      </c>
      <c r="J14" s="138">
        <f>SQRT(H14^2+I14^2)</f>
        <v>0.21551174561958331</v>
      </c>
      <c r="K14" s="138">
        <f>K11+H14</f>
        <v>1.5897036</v>
      </c>
      <c r="L14" s="138">
        <f>L11+I14</f>
        <v>4.6467859999999996</v>
      </c>
      <c r="M14" s="139">
        <f>SQRT(K14^2+L14^2)</f>
        <v>4.911189027684534</v>
      </c>
      <c r="N14" s="41">
        <f>$D$27*$D$29*$D$30/(SQRT(3)*M14)</f>
        <v>51.843141707104273</v>
      </c>
    </row>
    <row r="15" spans="2:14">
      <c r="N15" s="147"/>
    </row>
    <row r="16" spans="2:14" ht="30">
      <c r="F16" s="135" t="s">
        <v>367</v>
      </c>
      <c r="G16" s="135" t="s">
        <v>369</v>
      </c>
      <c r="H16" s="136" t="s">
        <v>347</v>
      </c>
      <c r="I16" s="137" t="s">
        <v>348</v>
      </c>
      <c r="J16" s="137" t="s">
        <v>359</v>
      </c>
      <c r="K16" s="137"/>
      <c r="L16" s="137"/>
      <c r="M16" s="135"/>
      <c r="N16" s="147"/>
    </row>
    <row r="17" spans="2:14">
      <c r="F17" s="135" t="s">
        <v>513</v>
      </c>
      <c r="G17" s="135"/>
      <c r="H17" s="141">
        <v>0</v>
      </c>
      <c r="I17" s="141">
        <f>0.15/2</f>
        <v>7.4999999999999997E-2</v>
      </c>
      <c r="J17" s="141">
        <f>I17</f>
        <v>7.4999999999999997E-2</v>
      </c>
      <c r="K17" s="140">
        <f>K14+H17</f>
        <v>1.5897036</v>
      </c>
      <c r="L17" s="140">
        <f>L14+I17</f>
        <v>4.7217859999999998</v>
      </c>
      <c r="M17" s="142">
        <f>SQRT(K17^2+L17^2)</f>
        <v>4.9822104096122795</v>
      </c>
      <c r="N17" s="41">
        <f>$D$27*$D$29*$D$30/(SQRT(3)*M17)</f>
        <v>51.104118007821974</v>
      </c>
    </row>
    <row r="18" spans="2:14">
      <c r="N18" s="147"/>
    </row>
    <row r="19" spans="2:14" ht="30">
      <c r="F19" s="2" t="s">
        <v>520</v>
      </c>
      <c r="G19" s="2" t="s">
        <v>521</v>
      </c>
      <c r="H19" s="2" t="s">
        <v>362</v>
      </c>
      <c r="I19" s="134" t="s">
        <v>363</v>
      </c>
      <c r="J19" s="134" t="s">
        <v>364</v>
      </c>
      <c r="K19" s="134"/>
      <c r="L19" s="134"/>
      <c r="M19" s="2"/>
      <c r="N19" s="147"/>
    </row>
    <row r="20" spans="2:14">
      <c r="F20" s="2"/>
      <c r="G20" s="2" t="s">
        <v>515</v>
      </c>
      <c r="H20" s="138">
        <f>D33*D37/D38*1000</f>
        <v>5.6249999999999994E-2</v>
      </c>
      <c r="I20" s="138">
        <f>0.15*D37</f>
        <v>0.75</v>
      </c>
      <c r="J20" s="138">
        <f>SQRT(H20^2+I20^2)</f>
        <v>0.75210641700493419</v>
      </c>
      <c r="K20" s="138">
        <f>K17+H20</f>
        <v>1.6459535999999999</v>
      </c>
      <c r="L20" s="138">
        <f>L17+I20</f>
        <v>5.4717859999999998</v>
      </c>
      <c r="M20" s="139">
        <f>SQRT(K20^2+L20^2)</f>
        <v>5.7139833114167349</v>
      </c>
      <c r="N20" s="41">
        <f>$D$27*$D$29*$D$30/(SQRT(3)*M20)</f>
        <v>44.559365128683964</v>
      </c>
    </row>
    <row r="21" spans="2:14">
      <c r="N21" s="147"/>
    </row>
    <row r="22" spans="2:14" ht="30">
      <c r="F22" s="135" t="s">
        <v>517</v>
      </c>
      <c r="G22" s="135" t="s">
        <v>506</v>
      </c>
      <c r="H22" s="136" t="s">
        <v>347</v>
      </c>
      <c r="I22" s="137" t="s">
        <v>348</v>
      </c>
      <c r="J22" s="137" t="s">
        <v>359</v>
      </c>
      <c r="K22" s="137"/>
      <c r="L22" s="137"/>
      <c r="M22" s="135"/>
      <c r="N22" s="147"/>
    </row>
    <row r="23" spans="2:14">
      <c r="F23" s="135"/>
      <c r="G23" s="135"/>
      <c r="H23" s="141">
        <v>0</v>
      </c>
      <c r="I23" s="141">
        <f>0.15</f>
        <v>0.15</v>
      </c>
      <c r="J23" s="141">
        <f>I23</f>
        <v>0.15</v>
      </c>
      <c r="K23" s="140">
        <f>K20+H23</f>
        <v>1.6459535999999999</v>
      </c>
      <c r="L23" s="140">
        <f>L20+I23</f>
        <v>5.6217860000000002</v>
      </c>
      <c r="M23" s="142">
        <f>SQRT(K23^2+L23^2)</f>
        <v>5.8577846566043181</v>
      </c>
      <c r="N23" s="41">
        <f>$D$27*$D$29*$D$30/(SQRT(3)*M23)</f>
        <v>43.465488002459274</v>
      </c>
    </row>
    <row r="24" spans="2:14">
      <c r="N24" s="147"/>
    </row>
    <row r="25" spans="2:14" ht="30">
      <c r="F25" s="2" t="s">
        <v>518</v>
      </c>
      <c r="G25" s="2" t="s">
        <v>507</v>
      </c>
      <c r="H25" s="2" t="s">
        <v>530</v>
      </c>
      <c r="I25" s="6" t="s">
        <v>531</v>
      </c>
      <c r="J25" s="134" t="s">
        <v>532</v>
      </c>
      <c r="K25" s="134"/>
      <c r="L25" s="134"/>
      <c r="M25" s="2"/>
      <c r="N25" s="147"/>
    </row>
    <row r="26" spans="2:14">
      <c r="F26" s="2"/>
      <c r="G26" s="2"/>
      <c r="H26" s="138">
        <f>D33*D39/D40*1000</f>
        <v>102.85714285714285</v>
      </c>
      <c r="I26" s="138">
        <f>0.08*D39</f>
        <v>25.6</v>
      </c>
      <c r="J26" s="138">
        <f>SQRT(H26^2+I26^2)</f>
        <v>105.99505571834325</v>
      </c>
      <c r="K26" s="138">
        <f>K23+H26</f>
        <v>104.50309645714285</v>
      </c>
      <c r="L26" s="138">
        <f>L23+I26</f>
        <v>31.221786000000002</v>
      </c>
      <c r="M26" s="139">
        <f>SQRT(K26^2+L26^2)</f>
        <v>109.06739700827511</v>
      </c>
      <c r="N26" s="41">
        <f>$D$27*$D$29*$D$30/(SQRT(3)*M26)</f>
        <v>2.3344415993837941</v>
      </c>
    </row>
    <row r="27" spans="2:14">
      <c r="B27" s="143" t="s">
        <v>376</v>
      </c>
      <c r="C27" s="145" t="s">
        <v>3</v>
      </c>
      <c r="D27" s="143">
        <v>1.05</v>
      </c>
    </row>
    <row r="28" spans="2:14" ht="30">
      <c r="B28" s="143" t="s">
        <v>338</v>
      </c>
      <c r="C28" s="145" t="s">
        <v>339</v>
      </c>
      <c r="D28" s="143">
        <v>500</v>
      </c>
      <c r="F28" s="2" t="s">
        <v>522</v>
      </c>
      <c r="G28" s="2" t="s">
        <v>523</v>
      </c>
      <c r="H28" s="2" t="s">
        <v>362</v>
      </c>
      <c r="I28" s="134" t="s">
        <v>363</v>
      </c>
      <c r="J28" s="134" t="s">
        <v>364</v>
      </c>
      <c r="K28" s="134"/>
      <c r="L28" s="134"/>
      <c r="M28" s="2"/>
      <c r="N28" s="147"/>
    </row>
    <row r="29" spans="2:14">
      <c r="B29" s="143" t="s">
        <v>75</v>
      </c>
      <c r="C29" s="145" t="s">
        <v>3</v>
      </c>
      <c r="D29" s="143">
        <v>1.05</v>
      </c>
      <c r="F29" s="2"/>
      <c r="G29" s="2" t="s">
        <v>524</v>
      </c>
      <c r="H29" s="138">
        <f>D33*D43/D44*1000</f>
        <v>1.5</v>
      </c>
      <c r="I29" s="138">
        <f>0.15*D43</f>
        <v>0.44999999999999996</v>
      </c>
      <c r="J29" s="138">
        <f>SQRT(H29^2+I29^2)</f>
        <v>1.5660459763365826</v>
      </c>
      <c r="K29" s="138">
        <f>K26+H29</f>
        <v>106.00309645714285</v>
      </c>
      <c r="L29" s="138">
        <f>L26+I29</f>
        <v>31.671786000000001</v>
      </c>
      <c r="M29" s="139">
        <f>SQRT(K29^2+L29^2)</f>
        <v>110.63344199170577</v>
      </c>
      <c r="N29" s="41">
        <f>$D$27*$D$29*$D$30/(SQRT(3)*M29)</f>
        <v>2.3013969748108649</v>
      </c>
    </row>
    <row r="30" spans="2:14">
      <c r="B30" s="143" t="s">
        <v>337</v>
      </c>
      <c r="C30" s="145" t="s">
        <v>23</v>
      </c>
      <c r="D30" s="143">
        <v>400</v>
      </c>
      <c r="N30" s="147"/>
    </row>
    <row r="31" spans="2:14" ht="30">
      <c r="B31" s="143" t="s">
        <v>343</v>
      </c>
      <c r="C31" s="145" t="s">
        <v>2</v>
      </c>
      <c r="D31" s="188">
        <f>'11'!M53*2</f>
        <v>2000</v>
      </c>
      <c r="F31" s="135" t="s">
        <v>516</v>
      </c>
      <c r="G31" s="135" t="s">
        <v>508</v>
      </c>
      <c r="H31" s="136" t="s">
        <v>347</v>
      </c>
      <c r="I31" s="137" t="s">
        <v>348</v>
      </c>
      <c r="J31" s="137" t="s">
        <v>359</v>
      </c>
      <c r="K31" s="137"/>
      <c r="L31" s="137"/>
      <c r="M31" s="135"/>
      <c r="N31" s="147"/>
    </row>
    <row r="32" spans="2:14">
      <c r="B32" s="143" t="s">
        <v>344</v>
      </c>
      <c r="C32" s="145" t="s">
        <v>93</v>
      </c>
      <c r="D32" s="143">
        <v>5</v>
      </c>
      <c r="F32" s="135"/>
      <c r="G32" s="135"/>
      <c r="H32" s="141">
        <v>0</v>
      </c>
      <c r="I32" s="141">
        <f>0.15</f>
        <v>0.15</v>
      </c>
      <c r="J32" s="141">
        <f>I32</f>
        <v>0.15</v>
      </c>
      <c r="K32" s="140">
        <f>K29+H32</f>
        <v>106.00309645714285</v>
      </c>
      <c r="L32" s="140">
        <f>L29+I32</f>
        <v>31.821785999999999</v>
      </c>
      <c r="M32" s="142">
        <f>SQRT(K32^2+L32^2)</f>
        <v>110.67647682652409</v>
      </c>
      <c r="N32" s="41">
        <f>$D$27*$D$29*$D$30/(SQRT(3)*M32)</f>
        <v>2.3005021122212503</v>
      </c>
    </row>
    <row r="33" spans="2:14">
      <c r="B33" s="144" t="s">
        <v>351</v>
      </c>
      <c r="C33" s="146" t="s">
        <v>353</v>
      </c>
      <c r="D33" s="143">
        <v>2.2499999999999999E-2</v>
      </c>
      <c r="N33" s="147"/>
    </row>
    <row r="34" spans="2:14" ht="30">
      <c r="B34" s="144" t="s">
        <v>352</v>
      </c>
      <c r="C34" s="146" t="s">
        <v>353</v>
      </c>
      <c r="D34" s="143">
        <v>3.5999999999999997E-2</v>
      </c>
      <c r="F34" s="2" t="s">
        <v>519</v>
      </c>
      <c r="G34" s="2" t="s">
        <v>509</v>
      </c>
      <c r="H34" s="2" t="s">
        <v>502</v>
      </c>
      <c r="I34" s="6" t="s">
        <v>503</v>
      </c>
      <c r="J34" s="134" t="s">
        <v>504</v>
      </c>
      <c r="K34" s="134"/>
      <c r="L34" s="134"/>
      <c r="M34" s="2"/>
      <c r="N34" s="147"/>
    </row>
    <row r="35" spans="2:14">
      <c r="B35" s="143" t="s">
        <v>354</v>
      </c>
      <c r="C35" s="145" t="s">
        <v>75</v>
      </c>
      <c r="D35" s="143">
        <f>'14'!F88</f>
        <v>10</v>
      </c>
      <c r="F35" s="2"/>
      <c r="G35" s="2"/>
      <c r="H35" s="138">
        <f>$D$33*D41/D42*1000</f>
        <v>56.249999999999993</v>
      </c>
      <c r="I35" s="138">
        <f>0.08*D41</f>
        <v>1.2</v>
      </c>
      <c r="J35" s="138">
        <f>SQRT(H35^2+I35^2)</f>
        <v>56.262798543975741</v>
      </c>
      <c r="K35" s="138">
        <f>K32+H35</f>
        <v>162.25309645714285</v>
      </c>
      <c r="L35" s="138">
        <f>L32+I35</f>
        <v>33.021785999999999</v>
      </c>
      <c r="M35" s="139">
        <f>SQRT(K35^2+L35^2)</f>
        <v>165.57930323733305</v>
      </c>
      <c r="N35" s="16">
        <f>$D$27*$D$29*$D$30/(SQRT(3)*M35)</f>
        <v>1.5377010516083505</v>
      </c>
    </row>
    <row r="36" spans="2:14">
      <c r="B36" s="143" t="s">
        <v>355</v>
      </c>
      <c r="C36" s="145" t="s">
        <v>77</v>
      </c>
      <c r="D36" s="143">
        <f>'14'!F89</f>
        <v>600</v>
      </c>
    </row>
    <row r="37" spans="2:14" ht="15.75" thickBot="1">
      <c r="B37" s="143" t="s">
        <v>525</v>
      </c>
      <c r="C37" s="145" t="s">
        <v>75</v>
      </c>
      <c r="D37" s="143">
        <v>5</v>
      </c>
      <c r="H37" s="133"/>
      <c r="I37" s="133"/>
    </row>
    <row r="38" spans="2:14">
      <c r="B38" s="143" t="s">
        <v>526</v>
      </c>
      <c r="C38" s="145" t="s">
        <v>77</v>
      </c>
      <c r="D38" s="143">
        <f>2*100*10</f>
        <v>2000</v>
      </c>
      <c r="H38" s="148" t="str">
        <f>H4</f>
        <v>Resistência</v>
      </c>
      <c r="I38" s="149" t="str">
        <f t="shared" ref="I38:N39" si="1">I4</f>
        <v>Reatância</v>
      </c>
      <c r="J38" s="150" t="str">
        <f t="shared" si="1"/>
        <v>Impedância</v>
      </c>
      <c r="K38" s="148" t="str">
        <f t="shared" si="1"/>
        <v>R.acum</v>
      </c>
      <c r="L38" s="149" t="str">
        <f t="shared" si="1"/>
        <v>X.acum</v>
      </c>
      <c r="M38" s="150" t="str">
        <f t="shared" si="1"/>
        <v>Z.acum</v>
      </c>
      <c r="N38" s="158" t="str">
        <f t="shared" si="1"/>
        <v>Ik3</v>
      </c>
    </row>
    <row r="39" spans="2:14" ht="15.75" thickBot="1">
      <c r="B39" s="143" t="s">
        <v>373</v>
      </c>
      <c r="C39" s="145" t="s">
        <v>75</v>
      </c>
      <c r="D39" s="143">
        <v>320</v>
      </c>
      <c r="H39" s="151" t="s">
        <v>327</v>
      </c>
      <c r="I39" s="18" t="s">
        <v>327</v>
      </c>
      <c r="J39" s="152" t="s">
        <v>327</v>
      </c>
      <c r="K39" s="151" t="s">
        <v>327</v>
      </c>
      <c r="L39" s="18" t="s">
        <v>327</v>
      </c>
      <c r="M39" s="152" t="s">
        <v>327</v>
      </c>
      <c r="N39" s="159" t="str">
        <f t="shared" si="1"/>
        <v>kA</v>
      </c>
    </row>
    <row r="40" spans="2:14">
      <c r="B40" s="143" t="s">
        <v>374</v>
      </c>
      <c r="C40" s="145" t="s">
        <v>77</v>
      </c>
      <c r="D40" s="143">
        <v>70</v>
      </c>
      <c r="F40" s="162" t="str">
        <f>F8</f>
        <v>Za</v>
      </c>
      <c r="G40" s="163" t="str">
        <f>G8</f>
        <v>Rede a montante</v>
      </c>
      <c r="H40" s="153">
        <f t="shared" ref="H40:N40" si="2">H8</f>
        <v>3.5103600000000006E-2</v>
      </c>
      <c r="I40" s="14">
        <f t="shared" si="2"/>
        <v>0.35103600000000001</v>
      </c>
      <c r="J40" s="154">
        <f t="shared" si="2"/>
        <v>0.3528</v>
      </c>
      <c r="K40" s="153">
        <f t="shared" si="2"/>
        <v>3.5103600000000006E-2</v>
      </c>
      <c r="L40" s="14">
        <f t="shared" si="2"/>
        <v>0.35103600000000001</v>
      </c>
      <c r="M40" s="154">
        <f t="shared" si="2"/>
        <v>0.3528</v>
      </c>
      <c r="N40" s="160">
        <f t="shared" si="2"/>
        <v>721.6878364870322</v>
      </c>
    </row>
    <row r="41" spans="2:14">
      <c r="B41" s="143" t="s">
        <v>510</v>
      </c>
      <c r="C41" s="145" t="s">
        <v>75</v>
      </c>
      <c r="D41" s="143">
        <f>'14'!M88</f>
        <v>15</v>
      </c>
      <c r="F41" s="164" t="str">
        <f>F10</f>
        <v>Zt</v>
      </c>
      <c r="G41" s="165" t="str">
        <f>G10</f>
        <v>Transformador</v>
      </c>
      <c r="H41" s="153">
        <f>0.31*J41</f>
        <v>1.3671</v>
      </c>
      <c r="I41" s="14">
        <f>J41*0.95</f>
        <v>4.1894999999999998</v>
      </c>
      <c r="J41" s="154">
        <f>(D29*D30)^2*D32/D31/1000/100*1000</f>
        <v>4.41</v>
      </c>
      <c r="K41" s="153">
        <f t="shared" ref="K41:N41" si="3">K11</f>
        <v>1.4022036</v>
      </c>
      <c r="L41" s="14">
        <f t="shared" si="3"/>
        <v>4.5405359999999995</v>
      </c>
      <c r="M41" s="154">
        <f t="shared" si="3"/>
        <v>4.7521197484016486</v>
      </c>
      <c r="N41" s="160">
        <f t="shared" si="3"/>
        <v>53.57850437128868</v>
      </c>
    </row>
    <row r="42" spans="2:14">
      <c r="B42" s="143" t="s">
        <v>511</v>
      </c>
      <c r="C42" s="145" t="s">
        <v>77</v>
      </c>
      <c r="D42" s="143">
        <f>'14'!M96</f>
        <v>6</v>
      </c>
      <c r="F42" s="164" t="str">
        <f>F13</f>
        <v>Zcabo1</v>
      </c>
      <c r="G42" s="165" t="str">
        <f>G13</f>
        <v>Cabo QGBT-D1</v>
      </c>
      <c r="H42" s="153">
        <f>H14</f>
        <v>0.18749999999999997</v>
      </c>
      <c r="I42" s="14">
        <f t="shared" ref="I42:N42" si="4">I14</f>
        <v>0.10625000000000001</v>
      </c>
      <c r="J42" s="154">
        <f t="shared" si="4"/>
        <v>0.21551174561958331</v>
      </c>
      <c r="K42" s="153">
        <f t="shared" si="4"/>
        <v>1.5897036</v>
      </c>
      <c r="L42" s="14">
        <f t="shared" si="4"/>
        <v>4.6467859999999996</v>
      </c>
      <c r="M42" s="154">
        <f t="shared" si="4"/>
        <v>4.911189027684534</v>
      </c>
      <c r="N42" s="160">
        <f t="shared" si="4"/>
        <v>51.843141707104273</v>
      </c>
    </row>
    <row r="43" spans="2:14">
      <c r="B43" s="143" t="s">
        <v>527</v>
      </c>
      <c r="C43" s="145" t="s">
        <v>75</v>
      </c>
      <c r="D43" s="143">
        <v>3</v>
      </c>
      <c r="F43" s="164" t="str">
        <f>F16</f>
        <v>Zd1</v>
      </c>
      <c r="G43" s="165" t="str">
        <f>G16</f>
        <v>Disjuntor1</v>
      </c>
      <c r="H43" s="153">
        <f>H17</f>
        <v>0</v>
      </c>
      <c r="I43" s="14">
        <f t="shared" ref="I43:N43" si="5">I17</f>
        <v>7.4999999999999997E-2</v>
      </c>
      <c r="J43" s="154">
        <f t="shared" si="5"/>
        <v>7.4999999999999997E-2</v>
      </c>
      <c r="K43" s="153">
        <f t="shared" si="5"/>
        <v>1.5897036</v>
      </c>
      <c r="L43" s="14">
        <f t="shared" si="5"/>
        <v>4.7217859999999998</v>
      </c>
      <c r="M43" s="154">
        <f t="shared" si="5"/>
        <v>4.9822104096122795</v>
      </c>
      <c r="N43" s="160">
        <f t="shared" si="5"/>
        <v>51.104118007821974</v>
      </c>
    </row>
    <row r="44" spans="2:14">
      <c r="B44" s="143" t="s">
        <v>528</v>
      </c>
      <c r="C44" s="145" t="s">
        <v>77</v>
      </c>
      <c r="D44" s="143">
        <f>15*3</f>
        <v>45</v>
      </c>
      <c r="F44" s="164" t="str">
        <f>F19</f>
        <v>Zb1</v>
      </c>
      <c r="G44" s="165" t="str">
        <f>G19</f>
        <v>Barramento1</v>
      </c>
      <c r="H44" s="153">
        <f>H20</f>
        <v>5.6249999999999994E-2</v>
      </c>
      <c r="I44" s="14">
        <f t="shared" ref="I44:N44" si="6">I20</f>
        <v>0.75</v>
      </c>
      <c r="J44" s="154">
        <f t="shared" si="6"/>
        <v>0.75210641700493419</v>
      </c>
      <c r="K44" s="153">
        <f t="shared" si="6"/>
        <v>1.6459535999999999</v>
      </c>
      <c r="L44" s="14">
        <f t="shared" si="6"/>
        <v>5.4717859999999998</v>
      </c>
      <c r="M44" s="154">
        <f t="shared" si="6"/>
        <v>5.7139833114167349</v>
      </c>
      <c r="N44" s="160">
        <f t="shared" si="6"/>
        <v>44.559365128683964</v>
      </c>
    </row>
    <row r="45" spans="2:14">
      <c r="F45" s="164" t="str">
        <f>F22</f>
        <v>Zd4</v>
      </c>
      <c r="G45" s="165" t="str">
        <f>G22</f>
        <v>Disjuntor4</v>
      </c>
      <c r="H45" s="153">
        <f>H23</f>
        <v>0</v>
      </c>
      <c r="I45" s="14">
        <f t="shared" ref="I45:N45" si="7">I23</f>
        <v>0.15</v>
      </c>
      <c r="J45" s="154">
        <f t="shared" si="7"/>
        <v>0.15</v>
      </c>
      <c r="K45" s="153">
        <f t="shared" si="7"/>
        <v>1.6459535999999999</v>
      </c>
      <c r="L45" s="14">
        <f t="shared" si="7"/>
        <v>5.6217860000000002</v>
      </c>
      <c r="M45" s="154">
        <f t="shared" si="7"/>
        <v>5.8577846566043181</v>
      </c>
      <c r="N45" s="160">
        <f t="shared" si="7"/>
        <v>43.465488002459274</v>
      </c>
    </row>
    <row r="46" spans="2:14">
      <c r="F46" s="164" t="str">
        <f>F25</f>
        <v>Zcabo4</v>
      </c>
      <c r="G46" s="165" t="str">
        <f>G25</f>
        <v>Cabo Q4-Q40</v>
      </c>
      <c r="H46" s="153">
        <f>H26</f>
        <v>102.85714285714285</v>
      </c>
      <c r="I46" s="14">
        <f t="shared" ref="I46:N46" si="8">I26</f>
        <v>25.6</v>
      </c>
      <c r="J46" s="154">
        <f t="shared" si="8"/>
        <v>105.99505571834325</v>
      </c>
      <c r="K46" s="153">
        <f t="shared" si="8"/>
        <v>104.50309645714285</v>
      </c>
      <c r="L46" s="14">
        <f t="shared" si="8"/>
        <v>31.221786000000002</v>
      </c>
      <c r="M46" s="154">
        <f t="shared" si="8"/>
        <v>109.06739700827511</v>
      </c>
      <c r="N46" s="160">
        <f t="shared" si="8"/>
        <v>2.3344415993837941</v>
      </c>
    </row>
    <row r="47" spans="2:14">
      <c r="F47" s="164" t="str">
        <f>F28</f>
        <v>Zb2</v>
      </c>
      <c r="G47" s="165" t="str">
        <f>G28</f>
        <v>Barramento2</v>
      </c>
      <c r="H47" s="153">
        <f t="shared" ref="H47:N47" si="9">H29</f>
        <v>1.5</v>
      </c>
      <c r="I47" s="14">
        <f t="shared" si="9"/>
        <v>0.44999999999999996</v>
      </c>
      <c r="J47" s="154">
        <f t="shared" si="9"/>
        <v>1.5660459763365826</v>
      </c>
      <c r="K47" s="153">
        <f t="shared" si="9"/>
        <v>106.00309645714285</v>
      </c>
      <c r="L47" s="14">
        <f t="shared" si="9"/>
        <v>31.671786000000001</v>
      </c>
      <c r="M47" s="154">
        <f t="shared" si="9"/>
        <v>110.63344199170577</v>
      </c>
      <c r="N47" s="160">
        <f t="shared" si="9"/>
        <v>2.3013969748108649</v>
      </c>
    </row>
    <row r="48" spans="2:14">
      <c r="F48" s="164" t="str">
        <f>F31</f>
        <v>Zd41</v>
      </c>
      <c r="G48" s="165" t="str">
        <f>G31</f>
        <v>Disjuntor41</v>
      </c>
      <c r="H48" s="153">
        <f>H32</f>
        <v>0</v>
      </c>
      <c r="I48" s="14">
        <f>I32</f>
        <v>0.15</v>
      </c>
      <c r="J48" s="154">
        <f>J32</f>
        <v>0.15</v>
      </c>
      <c r="K48" s="153">
        <f>K32</f>
        <v>106.00309645714285</v>
      </c>
      <c r="L48" s="14">
        <f t="shared" ref="L48:M48" si="10">L32</f>
        <v>31.821785999999999</v>
      </c>
      <c r="M48" s="154">
        <f t="shared" si="10"/>
        <v>110.67647682652409</v>
      </c>
      <c r="N48" s="160">
        <f>N32</f>
        <v>2.3005021122212503</v>
      </c>
    </row>
    <row r="49" spans="2:14" ht="15.75" thickBot="1">
      <c r="F49" s="166" t="str">
        <f>F34</f>
        <v>Zcabo41</v>
      </c>
      <c r="G49" s="167" t="str">
        <f>G34</f>
        <v>Cabo Q40-Q41</v>
      </c>
      <c r="H49" s="155">
        <f t="shared" ref="H49:N49" si="11">H35</f>
        <v>56.249999999999993</v>
      </c>
      <c r="I49" s="156">
        <f t="shared" si="11"/>
        <v>1.2</v>
      </c>
      <c r="J49" s="157">
        <f t="shared" si="11"/>
        <v>56.262798543975741</v>
      </c>
      <c r="K49" s="155">
        <f t="shared" si="11"/>
        <v>162.25309645714285</v>
      </c>
      <c r="L49" s="156">
        <f t="shared" si="11"/>
        <v>33.021785999999999</v>
      </c>
      <c r="M49" s="157">
        <f t="shared" si="11"/>
        <v>165.57930323733305</v>
      </c>
      <c r="N49" s="161">
        <f t="shared" si="11"/>
        <v>1.5377010516083505</v>
      </c>
    </row>
    <row r="57" spans="2:14" ht="18.75">
      <c r="B57" s="189" t="s">
        <v>567</v>
      </c>
      <c r="F57" s="197"/>
      <c r="G57" s="197"/>
      <c r="H57" s="198" t="s">
        <v>326</v>
      </c>
      <c r="I57" s="198" t="s">
        <v>330</v>
      </c>
      <c r="J57" s="198" t="s">
        <v>331</v>
      </c>
      <c r="K57" s="198" t="s">
        <v>340</v>
      </c>
      <c r="L57" s="198" t="s">
        <v>341</v>
      </c>
      <c r="M57" s="198" t="s">
        <v>342</v>
      </c>
      <c r="N57" s="198" t="s">
        <v>375</v>
      </c>
    </row>
    <row r="58" spans="2:14">
      <c r="F58" s="197"/>
      <c r="G58" s="197"/>
      <c r="H58" s="198" t="s">
        <v>568</v>
      </c>
      <c r="I58" s="198" t="s">
        <v>568</v>
      </c>
      <c r="J58" s="198" t="s">
        <v>568</v>
      </c>
      <c r="K58" s="198" t="s">
        <v>568</v>
      </c>
      <c r="L58" s="198" t="s">
        <v>568</v>
      </c>
      <c r="M58" s="198" t="s">
        <v>568</v>
      </c>
      <c r="N58" s="198" t="s">
        <v>227</v>
      </c>
    </row>
    <row r="59" spans="2:14">
      <c r="F59" s="197" t="s">
        <v>328</v>
      </c>
      <c r="G59" s="197" t="s">
        <v>325</v>
      </c>
      <c r="H59" s="199">
        <f>0.1*I59</f>
        <v>3.5103600000000006E-2</v>
      </c>
      <c r="I59" s="199">
        <f>J59*0.995</f>
        <v>0.35103600000000001</v>
      </c>
      <c r="J59" s="199">
        <f>(D29*D30)^2/(D28*10^6)*1000</f>
        <v>0.3528</v>
      </c>
      <c r="K59" s="199">
        <f>H59</f>
        <v>3.5103600000000006E-2</v>
      </c>
      <c r="L59" s="199">
        <f>I59</f>
        <v>0.35103600000000001</v>
      </c>
      <c r="M59" s="199">
        <f>SQRT(K59^2+L59^2)</f>
        <v>0.3527868138535793</v>
      </c>
      <c r="N59" s="200">
        <f>$D$27*$D$29*$D$30/(SQRT(3)*M59)</f>
        <v>721.71481108219359</v>
      </c>
    </row>
    <row r="60" spans="2:14">
      <c r="F60" s="197" t="s">
        <v>569</v>
      </c>
      <c r="G60" s="197" t="s">
        <v>333</v>
      </c>
      <c r="H60" s="199">
        <f t="shared" ref="H60:J68" si="12">H41</f>
        <v>1.3671</v>
      </c>
      <c r="I60" s="199">
        <f t="shared" si="12"/>
        <v>4.1894999999999998</v>
      </c>
      <c r="J60" s="199">
        <f t="shared" si="12"/>
        <v>4.41</v>
      </c>
      <c r="K60" s="199">
        <f>H60+K59</f>
        <v>1.4022036</v>
      </c>
      <c r="L60" s="199">
        <f>I60+L59</f>
        <v>4.5405359999999995</v>
      </c>
      <c r="M60" s="199">
        <f t="shared" ref="M60:M68" si="13">SQRT(K60^2+L60^2)</f>
        <v>4.7521197484016486</v>
      </c>
      <c r="N60" s="200">
        <f t="shared" ref="N60:N68" si="14">$D$27*$D$29*$D$30/(SQRT(3)*M60)</f>
        <v>53.57850437128868</v>
      </c>
    </row>
    <row r="61" spans="2:14">
      <c r="B61" s="47" t="s">
        <v>581</v>
      </c>
      <c r="C61" s="47" t="s">
        <v>75</v>
      </c>
      <c r="D61" s="47">
        <v>10</v>
      </c>
      <c r="F61" s="197" t="s">
        <v>570</v>
      </c>
      <c r="G61" s="197" t="s">
        <v>368</v>
      </c>
      <c r="H61" s="199">
        <f t="shared" si="12"/>
        <v>0.18749999999999997</v>
      </c>
      <c r="I61" s="199">
        <f t="shared" si="12"/>
        <v>0.10625000000000001</v>
      </c>
      <c r="J61" s="199">
        <f t="shared" si="12"/>
        <v>0.21551174561958331</v>
      </c>
      <c r="K61" s="199">
        <f t="shared" ref="K61:K68" si="15">H61+K60</f>
        <v>1.5897036</v>
      </c>
      <c r="L61" s="199">
        <f t="shared" ref="L61:L68" si="16">I61+L60</f>
        <v>4.6467859999999996</v>
      </c>
      <c r="M61" s="199">
        <f t="shared" si="13"/>
        <v>4.911189027684534</v>
      </c>
      <c r="N61" s="200">
        <f t="shared" si="14"/>
        <v>51.843141707104273</v>
      </c>
    </row>
    <row r="62" spans="2:14">
      <c r="B62" s="47" t="s">
        <v>582</v>
      </c>
      <c r="C62" s="47" t="s">
        <v>77</v>
      </c>
      <c r="D62" s="47">
        <v>25</v>
      </c>
      <c r="F62" s="197" t="s">
        <v>367</v>
      </c>
      <c r="G62" s="197" t="s">
        <v>369</v>
      </c>
      <c r="H62" s="199">
        <f t="shared" si="12"/>
        <v>0</v>
      </c>
      <c r="I62" s="199">
        <f t="shared" si="12"/>
        <v>7.4999999999999997E-2</v>
      </c>
      <c r="J62" s="199">
        <f t="shared" si="12"/>
        <v>7.4999999999999997E-2</v>
      </c>
      <c r="K62" s="199">
        <f t="shared" si="15"/>
        <v>1.5897036</v>
      </c>
      <c r="L62" s="199">
        <f t="shared" si="16"/>
        <v>4.7217859999999998</v>
      </c>
      <c r="M62" s="199">
        <f t="shared" si="13"/>
        <v>4.9822104096122795</v>
      </c>
      <c r="N62" s="200">
        <f t="shared" si="14"/>
        <v>51.104118007821974</v>
      </c>
    </row>
    <row r="63" spans="2:14">
      <c r="B63" s="47" t="s">
        <v>583</v>
      </c>
      <c r="C63" s="47" t="s">
        <v>93</v>
      </c>
      <c r="D63" s="47">
        <v>4</v>
      </c>
      <c r="F63" s="197" t="s">
        <v>520</v>
      </c>
      <c r="G63" s="197" t="s">
        <v>521</v>
      </c>
      <c r="H63" s="199">
        <f t="shared" si="12"/>
        <v>5.6249999999999994E-2</v>
      </c>
      <c r="I63" s="199">
        <f t="shared" si="12"/>
        <v>0.75</v>
      </c>
      <c r="J63" s="199">
        <f t="shared" si="12"/>
        <v>0.75210641700493419</v>
      </c>
      <c r="K63" s="199">
        <f t="shared" si="15"/>
        <v>1.6459535999999999</v>
      </c>
      <c r="L63" s="199">
        <f t="shared" si="16"/>
        <v>5.4717859999999998</v>
      </c>
      <c r="M63" s="199">
        <f t="shared" si="13"/>
        <v>5.7139833114167349</v>
      </c>
      <c r="N63" s="200">
        <f t="shared" si="14"/>
        <v>44.559365128683964</v>
      </c>
    </row>
    <row r="64" spans="2:14">
      <c r="B64" s="47" t="s">
        <v>584</v>
      </c>
      <c r="C64" s="47" t="s">
        <v>2</v>
      </c>
      <c r="D64" s="47">
        <v>100</v>
      </c>
      <c r="F64" s="197" t="s">
        <v>571</v>
      </c>
      <c r="G64" s="197" t="s">
        <v>576</v>
      </c>
      <c r="H64" s="199">
        <f t="shared" si="12"/>
        <v>0</v>
      </c>
      <c r="I64" s="199">
        <v>0.15</v>
      </c>
      <c r="J64" s="199">
        <f t="shared" si="12"/>
        <v>0.15</v>
      </c>
      <c r="K64" s="199">
        <f t="shared" si="15"/>
        <v>1.6459535999999999</v>
      </c>
      <c r="L64" s="199">
        <f t="shared" si="16"/>
        <v>5.6217860000000002</v>
      </c>
      <c r="M64" s="199">
        <f t="shared" si="13"/>
        <v>5.8577846566043181</v>
      </c>
      <c r="N64" s="200">
        <f t="shared" si="14"/>
        <v>43.465488002459274</v>
      </c>
    </row>
    <row r="65" spans="2:14">
      <c r="B65" s="47" t="s">
        <v>586</v>
      </c>
      <c r="C65" s="47" t="s">
        <v>75</v>
      </c>
      <c r="D65" s="47">
        <v>4</v>
      </c>
      <c r="F65" s="197" t="s">
        <v>572</v>
      </c>
      <c r="G65" s="197" t="s">
        <v>577</v>
      </c>
      <c r="H65" s="199">
        <f>D33*D61/D62*1000</f>
        <v>9</v>
      </c>
      <c r="I65" s="199">
        <f>0.08*D61</f>
        <v>0.8</v>
      </c>
      <c r="J65" s="199">
        <f>SQRT(H65^2+I65^2)</f>
        <v>9.0354855984612144</v>
      </c>
      <c r="K65" s="199">
        <f t="shared" si="15"/>
        <v>10.6459536</v>
      </c>
      <c r="L65" s="199">
        <f t="shared" si="16"/>
        <v>6.421786</v>
      </c>
      <c r="M65" s="199">
        <f t="shared" si="13"/>
        <v>12.432846153763384</v>
      </c>
      <c r="N65" s="200">
        <f t="shared" si="14"/>
        <v>20.478936646019292</v>
      </c>
    </row>
    <row r="66" spans="2:14">
      <c r="B66" s="47" t="s">
        <v>585</v>
      </c>
      <c r="C66" s="47" t="s">
        <v>77</v>
      </c>
      <c r="D66" s="47">
        <f>12*2</f>
        <v>24</v>
      </c>
      <c r="F66" s="197" t="s">
        <v>573</v>
      </c>
      <c r="G66" s="197" t="s">
        <v>578</v>
      </c>
      <c r="H66" s="199">
        <f>0.31*J66</f>
        <v>21.8736</v>
      </c>
      <c r="I66" s="199">
        <f>0.95*J66</f>
        <v>67.031999999999996</v>
      </c>
      <c r="J66" s="199">
        <f>(D29*D30)^2*D63/100/100</f>
        <v>70.56</v>
      </c>
      <c r="K66" s="199">
        <f t="shared" si="15"/>
        <v>32.519553600000002</v>
      </c>
      <c r="L66" s="199">
        <f t="shared" si="16"/>
        <v>73.453785999999994</v>
      </c>
      <c r="M66" s="199">
        <f t="shared" si="13"/>
        <v>80.330442822612824</v>
      </c>
      <c r="N66" s="200">
        <f t="shared" si="14"/>
        <v>3.1695514149581214</v>
      </c>
    </row>
    <row r="67" spans="2:14">
      <c r="F67" s="197" t="s">
        <v>574</v>
      </c>
      <c r="G67" s="197" t="s">
        <v>579</v>
      </c>
      <c r="H67" s="199">
        <f t="shared" si="12"/>
        <v>0</v>
      </c>
      <c r="I67" s="199">
        <f t="shared" si="12"/>
        <v>0.15</v>
      </c>
      <c r="J67" s="199">
        <f t="shared" si="12"/>
        <v>0.15</v>
      </c>
      <c r="K67" s="199">
        <f t="shared" si="15"/>
        <v>32.519553600000002</v>
      </c>
      <c r="L67" s="199">
        <f t="shared" si="16"/>
        <v>73.603785999999999</v>
      </c>
      <c r="M67" s="199">
        <f t="shared" si="13"/>
        <v>80.467625041858099</v>
      </c>
      <c r="N67" s="200">
        <f t="shared" si="14"/>
        <v>3.1641479238411692</v>
      </c>
    </row>
    <row r="68" spans="2:14">
      <c r="F68" s="197" t="s">
        <v>575</v>
      </c>
      <c r="G68" s="197" t="s">
        <v>580</v>
      </c>
      <c r="H68" s="199">
        <f>D33*D65/D66*1000</f>
        <v>3.75</v>
      </c>
      <c r="I68" s="199">
        <f>0.085*D65</f>
        <v>0.34</v>
      </c>
      <c r="J68" s="199">
        <f t="shared" si="12"/>
        <v>56.262798543975741</v>
      </c>
      <c r="K68" s="199">
        <f t="shared" si="15"/>
        <v>36.269553600000002</v>
      </c>
      <c r="L68" s="199">
        <f t="shared" si="16"/>
        <v>73.943786000000003</v>
      </c>
      <c r="M68" s="199">
        <f t="shared" si="13"/>
        <v>82.359966041500229</v>
      </c>
      <c r="N68" s="200">
        <f t="shared" si="14"/>
        <v>3.0914469851083863</v>
      </c>
    </row>
  </sheetData>
  <pageMargins left="0.7" right="0.7" top="0.75" bottom="0.75" header="0.3" footer="0.3"/>
  <pageSetup paperSize="9" orientation="portrait" r:id="rId1"/>
  <drawing r:id="rId2"/>
  <legacyDrawing r:id="rId3"/>
  <oleObjects>
    <oleObject progId="Equation.3" shapeId="8194" r:id="rId4"/>
    <oleObject progId="Equation.3" shapeId="8195" r:id="rId5"/>
    <oleObject progId="Equation.3" shapeId="8196" r:id="rId6"/>
  </oleObject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0"/>
  <sheetViews>
    <sheetView topLeftCell="A82" zoomScaleNormal="100" workbookViewId="0">
      <selection activeCell="F75" sqref="F75"/>
    </sheetView>
  </sheetViews>
  <sheetFormatPr defaultColWidth="9.140625" defaultRowHeight="12.75"/>
  <cols>
    <col min="1" max="1" width="9.140625" style="86"/>
    <col min="2" max="2" width="7.28515625" style="96" customWidth="1"/>
    <col min="3" max="3" width="48.7109375" style="86" bestFit="1" customWidth="1"/>
    <col min="4" max="4" width="9.140625" style="97"/>
    <col min="5" max="5" width="18.85546875" style="98" customWidth="1"/>
    <col min="6" max="7" width="18.85546875" style="86" customWidth="1"/>
    <col min="8" max="8" width="13.28515625" style="86" bestFit="1" customWidth="1"/>
    <col min="9" max="16384" width="9.140625" style="86"/>
  </cols>
  <sheetData>
    <row r="1" spans="1:5" s="83" customFormat="1" ht="18">
      <c r="A1" s="83" t="s">
        <v>307</v>
      </c>
      <c r="D1" s="84"/>
      <c r="E1" s="85"/>
    </row>
    <row r="4" spans="1:5">
      <c r="B4" s="87" t="s">
        <v>218</v>
      </c>
      <c r="C4" s="88"/>
      <c r="D4" s="89"/>
      <c r="E4" s="90"/>
    </row>
    <row r="5" spans="1:5">
      <c r="B5" s="87"/>
      <c r="C5" s="88" t="s">
        <v>219</v>
      </c>
      <c r="D5" s="89" t="s">
        <v>220</v>
      </c>
      <c r="E5" s="91">
        <v>15</v>
      </c>
    </row>
    <row r="6" spans="1:5">
      <c r="B6" s="87"/>
      <c r="C6" s="88" t="s">
        <v>221</v>
      </c>
      <c r="D6" s="89" t="s">
        <v>93</v>
      </c>
      <c r="E6" s="91">
        <v>87</v>
      </c>
    </row>
    <row r="7" spans="1:5">
      <c r="B7" s="87"/>
      <c r="C7" s="88" t="s">
        <v>222</v>
      </c>
      <c r="D7" s="89" t="s">
        <v>3</v>
      </c>
      <c r="E7" s="91">
        <v>0.89</v>
      </c>
    </row>
    <row r="8" spans="1:5">
      <c r="B8" s="87" t="s">
        <v>223</v>
      </c>
      <c r="C8" s="88"/>
      <c r="D8" s="89"/>
      <c r="E8" s="90"/>
    </row>
    <row r="9" spans="1:5">
      <c r="B9" s="87"/>
      <c r="C9" s="88" t="s">
        <v>224</v>
      </c>
      <c r="D9" s="89" t="s">
        <v>23</v>
      </c>
      <c r="E9" s="91">
        <v>400</v>
      </c>
    </row>
    <row r="10" spans="1:5">
      <c r="B10" s="87"/>
      <c r="C10" s="88" t="s">
        <v>73</v>
      </c>
      <c r="D10" s="89" t="s">
        <v>75</v>
      </c>
      <c r="E10" s="91">
        <v>200</v>
      </c>
    </row>
    <row r="11" spans="1:5">
      <c r="B11" s="87"/>
      <c r="C11" s="88" t="s">
        <v>225</v>
      </c>
      <c r="D11" s="89" t="s">
        <v>93</v>
      </c>
      <c r="E11" s="91">
        <v>4.2450000000000001</v>
      </c>
    </row>
    <row r="12" spans="1:5">
      <c r="B12" s="87"/>
      <c r="C12" s="88" t="s">
        <v>226</v>
      </c>
      <c r="D12" s="89" t="s">
        <v>2</v>
      </c>
      <c r="E12" s="92">
        <v>2000</v>
      </c>
    </row>
    <row r="13" spans="1:5">
      <c r="B13" s="87"/>
      <c r="C13" s="88" t="s">
        <v>541</v>
      </c>
      <c r="D13" s="89" t="s">
        <v>227</v>
      </c>
      <c r="E13" s="93">
        <f>E12/SQRT(3)/E9/E11*100</f>
        <v>68.003565275574289</v>
      </c>
    </row>
    <row r="14" spans="1:5">
      <c r="B14" s="87"/>
      <c r="C14" s="88" t="s">
        <v>539</v>
      </c>
      <c r="D14" s="89" t="s">
        <v>3</v>
      </c>
      <c r="E14" s="93">
        <v>1</v>
      </c>
    </row>
    <row r="15" spans="1:5">
      <c r="B15" s="87"/>
      <c r="C15" s="88" t="s">
        <v>549</v>
      </c>
      <c r="D15" s="89" t="s">
        <v>3</v>
      </c>
      <c r="E15" s="93">
        <v>1.05</v>
      </c>
    </row>
    <row r="16" spans="1:5">
      <c r="B16" s="87"/>
      <c r="C16" s="88" t="s">
        <v>548</v>
      </c>
      <c r="D16" s="89"/>
      <c r="E16" s="93">
        <v>0.95</v>
      </c>
    </row>
    <row r="17" spans="2:6">
      <c r="B17" s="87"/>
      <c r="C17" s="88" t="s">
        <v>540</v>
      </c>
      <c r="D17" s="89" t="s">
        <v>3</v>
      </c>
      <c r="E17" s="93">
        <v>1.05</v>
      </c>
    </row>
    <row r="18" spans="2:6">
      <c r="B18" s="87"/>
      <c r="C18" s="88" t="s">
        <v>228</v>
      </c>
      <c r="D18" s="89" t="s">
        <v>3</v>
      </c>
      <c r="E18" s="91" t="s">
        <v>229</v>
      </c>
    </row>
    <row r="19" spans="2:6">
      <c r="B19" s="87" t="s">
        <v>230</v>
      </c>
      <c r="C19" s="88"/>
      <c r="D19" s="89"/>
      <c r="E19" s="90"/>
    </row>
    <row r="20" spans="2:6">
      <c r="B20" s="87"/>
      <c r="C20" s="88" t="s">
        <v>231</v>
      </c>
      <c r="D20" s="89" t="s">
        <v>3</v>
      </c>
      <c r="E20" s="91" t="s">
        <v>308</v>
      </c>
    </row>
    <row r="21" spans="2:6">
      <c r="B21" s="87"/>
      <c r="C21" s="88" t="s">
        <v>233</v>
      </c>
      <c r="D21" s="89" t="s">
        <v>3</v>
      </c>
      <c r="E21" s="91" t="s">
        <v>89</v>
      </c>
    </row>
    <row r="22" spans="2:6">
      <c r="B22" s="87"/>
      <c r="C22" s="88" t="s">
        <v>234</v>
      </c>
      <c r="D22" s="94" t="s">
        <v>235</v>
      </c>
      <c r="E22" s="91">
        <v>1.7240999999999999E-2</v>
      </c>
      <c r="F22" s="86" t="s">
        <v>236</v>
      </c>
    </row>
    <row r="23" spans="2:6">
      <c r="B23" s="87"/>
      <c r="C23" s="88" t="s">
        <v>237</v>
      </c>
      <c r="D23" s="95" t="s">
        <v>238</v>
      </c>
      <c r="E23" s="91">
        <v>3.9300000000000003E-3</v>
      </c>
      <c r="F23" s="86" t="s">
        <v>236</v>
      </c>
    </row>
    <row r="24" spans="2:6">
      <c r="B24" s="87"/>
      <c r="C24" s="88" t="s">
        <v>239</v>
      </c>
      <c r="D24" s="95" t="s">
        <v>240</v>
      </c>
      <c r="E24" s="91">
        <v>90</v>
      </c>
      <c r="F24" s="119" t="s">
        <v>309</v>
      </c>
    </row>
    <row r="25" spans="2:6">
      <c r="B25" s="87"/>
      <c r="C25" s="88" t="s">
        <v>242</v>
      </c>
      <c r="D25" s="89" t="s">
        <v>3</v>
      </c>
      <c r="E25" s="120" t="s">
        <v>243</v>
      </c>
      <c r="F25" s="86" t="s">
        <v>105</v>
      </c>
    </row>
    <row r="26" spans="2:6">
      <c r="B26" s="87"/>
      <c r="C26" s="88" t="s">
        <v>244</v>
      </c>
      <c r="D26" s="89" t="s">
        <v>3</v>
      </c>
      <c r="E26" s="91">
        <v>143</v>
      </c>
      <c r="F26" s="86" t="s">
        <v>245</v>
      </c>
    </row>
    <row r="27" spans="2:6">
      <c r="B27" s="87"/>
      <c r="C27" s="88" t="s">
        <v>545</v>
      </c>
      <c r="D27" s="89" t="s">
        <v>544</v>
      </c>
      <c r="E27" s="91">
        <v>0.08</v>
      </c>
    </row>
    <row r="28" spans="2:6">
      <c r="B28" s="87"/>
      <c r="C28" s="88" t="s">
        <v>246</v>
      </c>
      <c r="D28" s="89" t="s">
        <v>3</v>
      </c>
      <c r="E28" s="91" t="s">
        <v>310</v>
      </c>
    </row>
    <row r="29" spans="2:6">
      <c r="B29" s="87"/>
      <c r="C29" s="88" t="s">
        <v>248</v>
      </c>
      <c r="D29" s="89" t="s">
        <v>3</v>
      </c>
      <c r="E29" s="120" t="s">
        <v>311</v>
      </c>
    </row>
    <row r="30" spans="2:6">
      <c r="B30" s="87"/>
      <c r="C30" s="88" t="s">
        <v>250</v>
      </c>
      <c r="D30" s="89" t="s">
        <v>3</v>
      </c>
      <c r="E30" s="91" t="s">
        <v>3</v>
      </c>
    </row>
    <row r="31" spans="2:6">
      <c r="B31" s="87"/>
      <c r="C31" s="88" t="s">
        <v>252</v>
      </c>
      <c r="D31" s="89" t="s">
        <v>77</v>
      </c>
      <c r="E31" s="91" t="s">
        <v>253</v>
      </c>
    </row>
    <row r="32" spans="2:6">
      <c r="B32" s="87"/>
      <c r="C32" s="88" t="s">
        <v>254</v>
      </c>
      <c r="D32" s="89" t="s">
        <v>3</v>
      </c>
      <c r="E32" s="91">
        <v>5</v>
      </c>
    </row>
    <row r="33" spans="2:8">
      <c r="B33" s="87" t="s">
        <v>255</v>
      </c>
      <c r="C33" s="88"/>
      <c r="D33" s="89"/>
      <c r="E33" s="90"/>
    </row>
    <row r="34" spans="2:8">
      <c r="B34" s="87"/>
      <c r="C34" s="88" t="s">
        <v>256</v>
      </c>
      <c r="D34" s="89" t="s">
        <v>240</v>
      </c>
      <c r="E34" s="91">
        <v>45</v>
      </c>
    </row>
    <row r="35" spans="2:8">
      <c r="B35" s="87"/>
      <c r="C35" s="88" t="s">
        <v>257</v>
      </c>
      <c r="D35" s="89" t="s">
        <v>240</v>
      </c>
      <c r="E35" s="91" t="s">
        <v>3</v>
      </c>
    </row>
    <row r="36" spans="2:8">
      <c r="B36" s="87"/>
      <c r="C36" s="88" t="s">
        <v>258</v>
      </c>
      <c r="D36" s="89" t="s">
        <v>259</v>
      </c>
      <c r="E36" s="91" t="s">
        <v>3</v>
      </c>
    </row>
    <row r="38" spans="2:8">
      <c r="B38" s="96" t="s">
        <v>85</v>
      </c>
      <c r="C38" s="86" t="s">
        <v>84</v>
      </c>
      <c r="D38" s="97" t="s">
        <v>86</v>
      </c>
      <c r="E38" s="99">
        <f>E5*E6/100/E7/SQRT(3)/E9*1000</f>
        <v>21.164103968889375</v>
      </c>
      <c r="H38" s="96"/>
    </row>
    <row r="39" spans="2:8">
      <c r="C39" s="86" t="s">
        <v>260</v>
      </c>
      <c r="D39" s="97" t="s">
        <v>3</v>
      </c>
      <c r="E39" s="100" t="s">
        <v>589</v>
      </c>
      <c r="F39" s="86" t="s">
        <v>106</v>
      </c>
    </row>
    <row r="40" spans="2:8">
      <c r="C40" s="86" t="s">
        <v>261</v>
      </c>
      <c r="D40" s="97" t="s">
        <v>3</v>
      </c>
      <c r="E40" s="121" t="s">
        <v>134</v>
      </c>
      <c r="F40" s="86" t="s">
        <v>106</v>
      </c>
    </row>
    <row r="42" spans="2:8">
      <c r="B42" s="96" t="s">
        <v>262</v>
      </c>
    </row>
    <row r="43" spans="2:8">
      <c r="C43" s="119" t="s">
        <v>263</v>
      </c>
      <c r="D43" s="97" t="s">
        <v>3</v>
      </c>
      <c r="E43" s="101">
        <v>0.87</v>
      </c>
      <c r="F43" s="119" t="s">
        <v>118</v>
      </c>
    </row>
    <row r="44" spans="2:8">
      <c r="C44" s="119" t="s">
        <v>313</v>
      </c>
      <c r="D44" s="97" t="s">
        <v>3</v>
      </c>
      <c r="E44" s="101">
        <v>0.66</v>
      </c>
      <c r="F44" s="119" t="s">
        <v>120</v>
      </c>
    </row>
    <row r="45" spans="2:8">
      <c r="C45" s="86" t="s">
        <v>265</v>
      </c>
      <c r="D45" s="97" t="s">
        <v>3</v>
      </c>
      <c r="E45" s="102">
        <f>E43*E44</f>
        <v>0.57420000000000004</v>
      </c>
    </row>
    <row r="46" spans="2:8">
      <c r="B46" s="96" t="s">
        <v>273</v>
      </c>
      <c r="E46" s="99"/>
    </row>
    <row r="47" spans="2:8">
      <c r="C47" s="86" t="s">
        <v>274</v>
      </c>
      <c r="D47" s="97" t="s">
        <v>86</v>
      </c>
      <c r="E47" s="100">
        <v>25</v>
      </c>
    </row>
    <row r="48" spans="2:8">
      <c r="C48" s="86" t="s">
        <v>275</v>
      </c>
      <c r="D48" s="97" t="s">
        <v>86</v>
      </c>
      <c r="E48" s="103">
        <v>24.5</v>
      </c>
    </row>
    <row r="49" spans="2:8">
      <c r="C49" s="86" t="s">
        <v>276</v>
      </c>
      <c r="D49" s="97" t="s">
        <v>86</v>
      </c>
      <c r="E49" s="104">
        <f>12*E47</f>
        <v>300</v>
      </c>
    </row>
    <row r="50" spans="2:8">
      <c r="C50" s="119" t="s">
        <v>314</v>
      </c>
      <c r="D50" s="122" t="s">
        <v>3</v>
      </c>
      <c r="E50" s="123">
        <v>1.3</v>
      </c>
      <c r="F50" s="119" t="s">
        <v>315</v>
      </c>
    </row>
    <row r="51" spans="2:8">
      <c r="C51" s="86" t="s">
        <v>277</v>
      </c>
      <c r="D51" s="97" t="s">
        <v>86</v>
      </c>
      <c r="E51" s="99">
        <f>E50*E48</f>
        <v>31.85</v>
      </c>
    </row>
    <row r="52" spans="2:8">
      <c r="C52" s="86" t="s">
        <v>278</v>
      </c>
      <c r="D52" s="97" t="s">
        <v>227</v>
      </c>
      <c r="E52" s="103">
        <v>70</v>
      </c>
      <c r="F52" s="119" t="s">
        <v>316</v>
      </c>
    </row>
    <row r="53" spans="2:8">
      <c r="C53" s="86" t="s">
        <v>279</v>
      </c>
      <c r="D53" s="97" t="s">
        <v>3</v>
      </c>
      <c r="E53" s="101" t="s">
        <v>3</v>
      </c>
    </row>
    <row r="54" spans="2:8">
      <c r="E54" s="124"/>
    </row>
    <row r="55" spans="2:8">
      <c r="E55" s="125" t="s">
        <v>317</v>
      </c>
      <c r="F55" s="125" t="s">
        <v>318</v>
      </c>
      <c r="G55" s="125" t="s">
        <v>319</v>
      </c>
    </row>
    <row r="56" spans="2:8">
      <c r="B56" s="96" t="s">
        <v>213</v>
      </c>
      <c r="F56" s="98"/>
    </row>
    <row r="57" spans="2:8">
      <c r="C57" s="119" t="s">
        <v>561</v>
      </c>
      <c r="D57" s="97" t="s">
        <v>86</v>
      </c>
      <c r="E57" s="126">
        <f>$E$48/$E$45</f>
        <v>42.668059909439215</v>
      </c>
      <c r="F57" s="126">
        <f>$E$57</f>
        <v>42.668059909439215</v>
      </c>
      <c r="G57" s="126">
        <f>$E$57</f>
        <v>42.668059909439215</v>
      </c>
    </row>
    <row r="58" spans="2:8">
      <c r="C58" s="96" t="s">
        <v>266</v>
      </c>
      <c r="D58" s="105" t="s">
        <v>77</v>
      </c>
      <c r="E58" s="106">
        <v>6</v>
      </c>
      <c r="F58" s="106">
        <v>10</v>
      </c>
      <c r="G58" s="106">
        <v>16</v>
      </c>
      <c r="H58" s="119" t="s">
        <v>320</v>
      </c>
    </row>
    <row r="59" spans="2:8">
      <c r="C59" s="86" t="s">
        <v>268</v>
      </c>
      <c r="D59" s="97" t="s">
        <v>77</v>
      </c>
      <c r="E59" s="107">
        <f>E58</f>
        <v>6</v>
      </c>
      <c r="F59" s="107">
        <f>F58</f>
        <v>10</v>
      </c>
      <c r="G59" s="107">
        <f>G58</f>
        <v>16</v>
      </c>
      <c r="H59" s="86" t="s">
        <v>269</v>
      </c>
    </row>
    <row r="60" spans="2:8">
      <c r="C60" s="86" t="s">
        <v>270</v>
      </c>
      <c r="D60" s="97" t="s">
        <v>86</v>
      </c>
      <c r="E60" s="107">
        <v>52</v>
      </c>
      <c r="F60" s="107">
        <v>52</v>
      </c>
      <c r="G60" s="107">
        <v>96</v>
      </c>
      <c r="H60" s="86" t="str">
        <f>H58</f>
        <v>Quadro 52-C4</v>
      </c>
    </row>
    <row r="61" spans="2:8">
      <c r="C61" s="86" t="s">
        <v>271</v>
      </c>
      <c r="D61" s="97" t="s">
        <v>86</v>
      </c>
      <c r="E61" s="99">
        <f>E60*$E$45</f>
        <v>29.858400000000003</v>
      </c>
      <c r="F61" s="99">
        <v>71</v>
      </c>
      <c r="G61" s="99">
        <f>G60*$E$45</f>
        <v>55.123200000000004</v>
      </c>
    </row>
    <row r="62" spans="2:8">
      <c r="C62" s="86" t="s">
        <v>272</v>
      </c>
      <c r="D62" s="97" t="s">
        <v>86</v>
      </c>
      <c r="E62" s="99">
        <f>1.45*E61</f>
        <v>43.294680000000007</v>
      </c>
      <c r="F62" s="99">
        <f>1.45*F61</f>
        <v>102.95</v>
      </c>
      <c r="G62" s="99">
        <f>1.45*G61</f>
        <v>79.928640000000001</v>
      </c>
    </row>
    <row r="63" spans="2:8">
      <c r="B63" s="96" t="s">
        <v>280</v>
      </c>
      <c r="F63" s="98"/>
      <c r="G63" s="98"/>
    </row>
    <row r="64" spans="2:8">
      <c r="C64" s="86" t="s">
        <v>281</v>
      </c>
      <c r="D64" s="97" t="s">
        <v>140</v>
      </c>
      <c r="E64" s="98" t="str">
        <f>IF($E$38&lt;=$E$48,"OK!","!!!!!!!!!")</f>
        <v>OK!</v>
      </c>
      <c r="F64" s="98" t="str">
        <f>IF($E$38&lt;=$E$48,"OK!","!!!!!!!!!")</f>
        <v>OK!</v>
      </c>
      <c r="G64" s="98" t="str">
        <f>IF($E$38&lt;=$E$48,"OK!","!!!!!!!!!")</f>
        <v>OK!</v>
      </c>
    </row>
    <row r="65" spans="2:8">
      <c r="C65" s="86" t="s">
        <v>282</v>
      </c>
      <c r="D65" s="97" t="s">
        <v>140</v>
      </c>
      <c r="E65" s="98" t="str">
        <f>IF($E$48&lt;=E61,"OK!","!!!!!!!!!")</f>
        <v>OK!</v>
      </c>
      <c r="F65" s="98" t="str">
        <f>IF($E$48&lt;=F61,"OK!","!!!!!!!!!")</f>
        <v>OK!</v>
      </c>
      <c r="G65" s="98" t="str">
        <f>IF($E$48&lt;=G61,"OK!","!!!!!!!!!")</f>
        <v>OK!</v>
      </c>
    </row>
    <row r="66" spans="2:8">
      <c r="C66" s="86" t="s">
        <v>283</v>
      </c>
      <c r="D66" s="97" t="s">
        <v>140</v>
      </c>
      <c r="E66" s="98" t="str">
        <f>IF($E$51&lt;=E62,"OK!","!!!!!!!!!")</f>
        <v>OK!</v>
      </c>
      <c r="F66" s="98" t="str">
        <f>IF($E$51&lt;=F62,"OK!","!!!!!!!!!")</f>
        <v>OK!</v>
      </c>
      <c r="G66" s="98" t="str">
        <f>IF($E$51&lt;=G62,"OK!","!!!!!!!!!")</f>
        <v>OK!</v>
      </c>
    </row>
    <row r="67" spans="2:8">
      <c r="B67" s="96" t="s">
        <v>295</v>
      </c>
      <c r="F67" s="98"/>
      <c r="G67" s="98"/>
    </row>
    <row r="68" spans="2:8" s="109" customFormat="1">
      <c r="B68" s="108"/>
      <c r="C68" s="109" t="s">
        <v>285</v>
      </c>
      <c r="D68" s="110" t="s">
        <v>235</v>
      </c>
      <c r="E68" s="111">
        <f>$E$22*(1+$E$23*($E$24-20))</f>
        <v>2.1983999100000002E-2</v>
      </c>
      <c r="F68" s="111">
        <f>$E$22*(1+$E$23*($E$24-20))</f>
        <v>2.1983999100000002E-2</v>
      </c>
      <c r="G68" s="111">
        <f>$E$22*(1+$E$23*($E$24-20))</f>
        <v>2.1983999100000002E-2</v>
      </c>
    </row>
    <row r="69" spans="2:8">
      <c r="C69" s="115" t="s">
        <v>296</v>
      </c>
      <c r="D69" s="97" t="s">
        <v>93</v>
      </c>
      <c r="E69" s="116">
        <v>0.05</v>
      </c>
      <c r="F69" s="116">
        <v>0.05</v>
      </c>
      <c r="G69" s="116">
        <v>0.05</v>
      </c>
      <c r="H69" s="86" t="s">
        <v>99</v>
      </c>
    </row>
    <row r="70" spans="2:8">
      <c r="C70" s="86" t="s">
        <v>297</v>
      </c>
      <c r="D70" s="97" t="s">
        <v>23</v>
      </c>
      <c r="E70" s="99">
        <f>(E68*$E$10/E58*$E$7+0.08/1000*$E$10*SIN(ACOS($E$7)))*$E$38</f>
        <v>13.957458665772235</v>
      </c>
      <c r="F70" s="99">
        <f>(F68*$E$10/F58*$E$7+0.08/1000*$E$10*SIN(ACOS($E$7)))*$E$38</f>
        <v>8.4362351735337047</v>
      </c>
      <c r="G70" s="99">
        <f>(G68*$E$10/G58*$E$7+0.08/1000*$E$10*SIN(ACOS($E$7)))*$E$38</f>
        <v>5.3305469591495322</v>
      </c>
    </row>
    <row r="71" spans="2:8" ht="15">
      <c r="C71" s="115" t="s">
        <v>298</v>
      </c>
      <c r="D71" s="97" t="s">
        <v>93</v>
      </c>
      <c r="E71" s="128">
        <f>E70*SQRT(3)/$E$9</f>
        <v>6.0437568884150056E-2</v>
      </c>
      <c r="F71" s="128">
        <f>F70*SQRT(3)/$E$9</f>
        <v>3.6529969862900052E-2</v>
      </c>
      <c r="G71" s="128">
        <f>G70*SQRT(3)/$E$9</f>
        <v>2.3081945413446926E-2</v>
      </c>
    </row>
    <row r="72" spans="2:8">
      <c r="C72" s="86" t="s">
        <v>299</v>
      </c>
      <c r="D72" s="97" t="s">
        <v>140</v>
      </c>
      <c r="E72" s="98" t="str">
        <f>IF(E71&lt;=E69,"OK!","!!!!!!!!!")</f>
        <v>!!!!!!!!!</v>
      </c>
      <c r="F72" s="98" t="str">
        <f>IF(F71&lt;=F69,"OK!","!!!!!!!!!")</f>
        <v>OK!</v>
      </c>
      <c r="G72" s="98" t="str">
        <f>IF(G71&lt;=G69,"OK!","!!!!!!!!!")</f>
        <v>OK!</v>
      </c>
    </row>
    <row r="73" spans="2:8">
      <c r="B73" s="96" t="s">
        <v>284</v>
      </c>
      <c r="F73" s="98"/>
      <c r="G73" s="98"/>
    </row>
    <row r="74" spans="2:8">
      <c r="C74" s="86" t="s">
        <v>555</v>
      </c>
      <c r="D74" s="112" t="s">
        <v>542</v>
      </c>
      <c r="E74" s="102">
        <f>$E$16*$E$17*$E$9/SQRT(3)/$E$13</f>
        <v>3.3875100000000007</v>
      </c>
      <c r="F74" s="102">
        <f t="shared" ref="F74:G74" si="0">$E$16*$E$17*$E$9/SQRT(3)/$E$13</f>
        <v>3.3875100000000007</v>
      </c>
      <c r="G74" s="102">
        <f t="shared" si="0"/>
        <v>3.3875100000000007</v>
      </c>
    </row>
    <row r="75" spans="2:8">
      <c r="C75" s="86" t="s">
        <v>546</v>
      </c>
      <c r="D75" s="112" t="s">
        <v>542</v>
      </c>
      <c r="E75" s="114">
        <f>E68*$E$10*(1/E58+1/E59)*1000</f>
        <v>1465.5999399999998</v>
      </c>
      <c r="F75" s="114">
        <f t="shared" ref="F75:G75" si="1">F68*$E$10*(1/F58+1/F59)*1000</f>
        <v>879.3599640000001</v>
      </c>
      <c r="G75" s="114">
        <f t="shared" si="1"/>
        <v>549.59997750000002</v>
      </c>
    </row>
    <row r="76" spans="2:8">
      <c r="C76" s="86" t="s">
        <v>547</v>
      </c>
      <c r="D76" s="112" t="s">
        <v>542</v>
      </c>
      <c r="E76" s="114">
        <f>E68*$E$10*2/E58*1000</f>
        <v>1465.5999399999998</v>
      </c>
      <c r="F76" s="114">
        <f t="shared" ref="F76:G76" si="2">F68*$E$10*2/F58*1000</f>
        <v>879.3599640000001</v>
      </c>
      <c r="G76" s="114">
        <f t="shared" si="2"/>
        <v>549.59997750000002</v>
      </c>
    </row>
    <row r="77" spans="2:8">
      <c r="C77" s="86" t="s">
        <v>543</v>
      </c>
      <c r="D77" s="112" t="s">
        <v>542</v>
      </c>
      <c r="E77" s="102">
        <f>2*$E$27*$E$10</f>
        <v>32</v>
      </c>
      <c r="F77" s="102">
        <f t="shared" ref="F77:G77" si="3">2*$E$27*$E$10</f>
        <v>32</v>
      </c>
      <c r="G77" s="102">
        <f t="shared" si="3"/>
        <v>32</v>
      </c>
    </row>
    <row r="78" spans="2:8">
      <c r="C78" s="86" t="s">
        <v>550</v>
      </c>
      <c r="D78" s="112" t="s">
        <v>542</v>
      </c>
      <c r="E78" s="114">
        <f>SQRT(E75^2+E77^2)</f>
        <v>1465.9492433669056</v>
      </c>
      <c r="F78" s="114">
        <f t="shared" ref="F78:G78" si="4">SQRT(F75^2+F77^2)</f>
        <v>879.94201302476824</v>
      </c>
      <c r="G78" s="114">
        <f t="shared" si="4"/>
        <v>550.53077594990145</v>
      </c>
    </row>
    <row r="79" spans="2:8">
      <c r="C79" s="86" t="s">
        <v>553</v>
      </c>
      <c r="D79" s="112" t="s">
        <v>542</v>
      </c>
      <c r="E79" s="114">
        <f>SQRT(E76^2+E77^2)</f>
        <v>1465.9492433669056</v>
      </c>
      <c r="F79" s="114">
        <f t="shared" ref="F79:G79" si="5">SQRT(F76^2+F77^2)</f>
        <v>879.94201302476824</v>
      </c>
      <c r="G79" s="114">
        <f t="shared" si="5"/>
        <v>550.53077594990145</v>
      </c>
    </row>
    <row r="80" spans="2:8">
      <c r="C80" s="86" t="s">
        <v>551</v>
      </c>
      <c r="D80" s="112" t="s">
        <v>542</v>
      </c>
      <c r="E80" s="114">
        <f>E74+E78</f>
        <v>1469.3367533669057</v>
      </c>
      <c r="F80" s="114">
        <f t="shared" ref="F80:G80" si="6">F74+F78</f>
        <v>883.32952302476826</v>
      </c>
      <c r="G80" s="114">
        <f t="shared" si="6"/>
        <v>553.91828594990147</v>
      </c>
    </row>
    <row r="81" spans="2:8">
      <c r="C81" s="86" t="s">
        <v>552</v>
      </c>
      <c r="D81" s="112" t="s">
        <v>542</v>
      </c>
      <c r="E81" s="114">
        <f>E74+E79</f>
        <v>1469.3367533669057</v>
      </c>
      <c r="F81" s="114">
        <f t="shared" ref="F81:G81" si="7">F74+F79</f>
        <v>883.32952302476826</v>
      </c>
      <c r="G81" s="114">
        <f t="shared" si="7"/>
        <v>553.91828594990147</v>
      </c>
    </row>
    <row r="82" spans="2:8">
      <c r="C82" s="86" t="s">
        <v>556</v>
      </c>
      <c r="D82" s="97" t="s">
        <v>86</v>
      </c>
      <c r="E82" s="194">
        <f>$E$16*$E$17*$E$9/SQRT(3)/E80*1000</f>
        <v>156.78009610717007</v>
      </c>
      <c r="F82" s="194">
        <f t="shared" ref="F82:G82" si="8">$E$16*$E$17*$E$9/SQRT(3)/F80*1000</f>
        <v>260.78915218166145</v>
      </c>
      <c r="G82" s="194">
        <f t="shared" si="8"/>
        <v>415.87859301596632</v>
      </c>
    </row>
    <row r="83" spans="2:8">
      <c r="C83" s="86" t="s">
        <v>557</v>
      </c>
      <c r="D83" s="97" t="s">
        <v>86</v>
      </c>
      <c r="E83" s="194">
        <f>$E$16*$E$17*$E$9/E81*1000</f>
        <v>271.55109207315007</v>
      </c>
      <c r="F83" s="194">
        <f t="shared" ref="F83:G83" si="9">$E$16*$E$17*$E$9/F81*1000</f>
        <v>451.70006164144951</v>
      </c>
      <c r="G83" s="194">
        <f t="shared" si="9"/>
        <v>720.32285288391279</v>
      </c>
    </row>
    <row r="84" spans="2:8">
      <c r="C84" s="86" t="s">
        <v>554</v>
      </c>
      <c r="D84" s="97" t="s">
        <v>86</v>
      </c>
      <c r="E84" s="194">
        <f>MIN(E82:E83)</f>
        <v>156.78009610717007</v>
      </c>
      <c r="F84" s="194">
        <f t="shared" ref="F84:G84" si="10">MIN(F82:F83)</f>
        <v>260.78915218166145</v>
      </c>
      <c r="G84" s="194">
        <f t="shared" si="10"/>
        <v>415.87859301596632</v>
      </c>
    </row>
    <row r="85" spans="2:8">
      <c r="C85" s="86" t="s">
        <v>286</v>
      </c>
      <c r="D85" s="97" t="s">
        <v>287</v>
      </c>
      <c r="E85" s="113">
        <v>5</v>
      </c>
      <c r="F85" s="113">
        <v>5</v>
      </c>
      <c r="G85" s="113">
        <v>5</v>
      </c>
    </row>
    <row r="86" spans="2:8">
      <c r="C86" s="86" t="s">
        <v>288</v>
      </c>
      <c r="D86" s="97" t="s">
        <v>3</v>
      </c>
      <c r="E86" s="99">
        <f>E84/$E$48</f>
        <v>6.3991875962110232</v>
      </c>
      <c r="F86" s="99">
        <f t="shared" ref="F86:G86" si="11">F84/$E$48</f>
        <v>10.644455191088223</v>
      </c>
      <c r="G86" s="99">
        <f t="shared" si="11"/>
        <v>16.974636449631276</v>
      </c>
    </row>
    <row r="87" spans="2:8">
      <c r="C87" s="86" t="s">
        <v>289</v>
      </c>
      <c r="D87" s="97" t="s">
        <v>287</v>
      </c>
      <c r="E87" s="114">
        <f>($E$26*E58/E84)^2</f>
        <v>29.94971700020951</v>
      </c>
      <c r="F87" s="114">
        <f t="shared" ref="F87:G87" si="12">($E$26*F58/F84)^2</f>
        <v>30.067203016391105</v>
      </c>
      <c r="G87" s="114">
        <f t="shared" si="12"/>
        <v>30.267664276989031</v>
      </c>
    </row>
    <row r="88" spans="2:8">
      <c r="C88" s="86" t="s">
        <v>290</v>
      </c>
      <c r="D88" s="97" t="s">
        <v>287</v>
      </c>
      <c r="E88" s="127">
        <v>9</v>
      </c>
      <c r="F88" s="127">
        <v>4.5</v>
      </c>
      <c r="G88" s="101">
        <v>0.01</v>
      </c>
      <c r="H88" s="86" t="s">
        <v>291</v>
      </c>
    </row>
    <row r="89" spans="2:8">
      <c r="C89" s="86" t="s">
        <v>292</v>
      </c>
      <c r="D89" s="97" t="s">
        <v>140</v>
      </c>
      <c r="E89" s="98" t="str">
        <f>IF($E$13&lt;=E52,"OK!","!!!!!!!!!")</f>
        <v>OK!</v>
      </c>
      <c r="F89" s="98" t="str">
        <f>IF($E$13&lt;=F52,"OK!","!!!!!!!!!")</f>
        <v>OK!</v>
      </c>
      <c r="G89" s="98" t="str">
        <f>IF($E$13&lt;=F52,"OK!","!!!!!!!!!")</f>
        <v>OK!</v>
      </c>
    </row>
    <row r="90" spans="2:8">
      <c r="C90" s="86" t="s">
        <v>293</v>
      </c>
      <c r="D90" s="97" t="s">
        <v>140</v>
      </c>
      <c r="E90" s="98" t="str">
        <f>IF(E88&lt;=E87,"OK!","!!!!!!!!!")</f>
        <v>OK!</v>
      </c>
      <c r="F90" s="98" t="str">
        <f>IF(F88&lt;=F87,"OK!","!!!!!!!!!")</f>
        <v>OK!</v>
      </c>
      <c r="G90" s="98" t="str">
        <f>IF(G88&lt;=G87,"OK!","!!!!!!!!!")</f>
        <v>OK!</v>
      </c>
    </row>
    <row r="91" spans="2:8">
      <c r="C91" s="86" t="s">
        <v>294</v>
      </c>
      <c r="D91" s="97" t="s">
        <v>140</v>
      </c>
      <c r="E91" s="98" t="str">
        <f>IF(E88&lt;=E85,"OK!","!!!!!!!!!")</f>
        <v>!!!!!!!!!</v>
      </c>
      <c r="F91" s="98" t="str">
        <f>IF(F88&lt;=F85,"OK!","!!!!!!!!!")</f>
        <v>OK!</v>
      </c>
      <c r="G91" s="98" t="str">
        <f>IF(G88&lt;=G85,"OK!","!!!!!!!!!")</f>
        <v>OK!</v>
      </c>
    </row>
    <row r="92" spans="2:8">
      <c r="B92" s="96" t="s">
        <v>300</v>
      </c>
      <c r="F92" s="98"/>
      <c r="G92" s="98"/>
    </row>
    <row r="93" spans="2:8">
      <c r="C93" s="86" t="s">
        <v>301</v>
      </c>
      <c r="D93" s="112" t="s">
        <v>542</v>
      </c>
      <c r="E93" s="114">
        <f>E80</f>
        <v>1469.3367533669057</v>
      </c>
      <c r="F93" s="114">
        <f t="shared" ref="F93:G93" si="13">F80</f>
        <v>883.32952302476826</v>
      </c>
      <c r="G93" s="114">
        <f t="shared" si="13"/>
        <v>553.91828594990147</v>
      </c>
    </row>
    <row r="94" spans="2:8">
      <c r="C94" s="86" t="s">
        <v>302</v>
      </c>
      <c r="D94" s="97" t="s">
        <v>287</v>
      </c>
      <c r="E94" s="103">
        <v>0.4</v>
      </c>
      <c r="F94" s="103">
        <v>0.4</v>
      </c>
      <c r="G94" s="103">
        <v>0.4</v>
      </c>
    </row>
    <row r="95" spans="2:8">
      <c r="C95" s="86" t="s">
        <v>303</v>
      </c>
      <c r="D95" s="97" t="s">
        <v>86</v>
      </c>
      <c r="E95" s="104">
        <f>12*$E$47</f>
        <v>300</v>
      </c>
      <c r="F95" s="104">
        <f>12*$E$47</f>
        <v>300</v>
      </c>
      <c r="G95" s="104">
        <f>12*$E$47</f>
        <v>300</v>
      </c>
    </row>
    <row r="96" spans="2:8">
      <c r="C96" s="86" t="s">
        <v>304</v>
      </c>
      <c r="D96" s="97" t="s">
        <v>23</v>
      </c>
      <c r="E96" s="99">
        <f>E93*E95/1000</f>
        <v>440.80102601007167</v>
      </c>
      <c r="F96" s="99">
        <f t="shared" ref="F96:G96" si="14">F93*F95/1000</f>
        <v>264.99885690743048</v>
      </c>
      <c r="G96" s="99">
        <f t="shared" si="14"/>
        <v>166.17548578497045</v>
      </c>
    </row>
    <row r="97" spans="2:7">
      <c r="C97" s="86" t="s">
        <v>305</v>
      </c>
      <c r="D97" s="97" t="s">
        <v>140</v>
      </c>
      <c r="E97" s="98" t="str">
        <f>IF(E96&lt;=($E$9/SQRT(3)),"OK!","!!!!!!!!!")</f>
        <v>!!!!!!!!!</v>
      </c>
      <c r="F97" s="98" t="str">
        <f>IF(F96&lt;=($E$9/SQRT(3)),"OK!","!!!!!!!!!")</f>
        <v>!!!!!!!!!</v>
      </c>
      <c r="G97" s="98" t="str">
        <f>IF(G96&lt;=($E$9/SQRT(3)),"OK!","!!!!!!!!!")</f>
        <v>OK!</v>
      </c>
    </row>
    <row r="98" spans="2:7">
      <c r="B98" s="96" t="s">
        <v>312</v>
      </c>
    </row>
    <row r="99" spans="2:7">
      <c r="C99" s="119" t="s">
        <v>588</v>
      </c>
    </row>
    <row r="100" spans="2:7">
      <c r="C100" s="119" t="s">
        <v>321</v>
      </c>
    </row>
  </sheetData>
  <conditionalFormatting sqref="E97:G97 E72:G72 E64:G66 E89:G91">
    <cfRule type="notContainsText" dxfId="7" priority="1" stopIfTrue="1" operator="notContains" text="OK!">
      <formula>ISERROR(SEARCH("OK!",E64))</formula>
    </cfRule>
  </conditionalFormatting>
  <pageMargins left="0.68" right="0.75" top="0.47" bottom="0.57999999999999996" header="0" footer="0"/>
  <pageSetup paperSize="9" scale="59" orientation="portrait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0"/>
  <sheetViews>
    <sheetView workbookViewId="0">
      <selection activeCell="J56" sqref="J56"/>
    </sheetView>
  </sheetViews>
  <sheetFormatPr defaultColWidth="9.140625" defaultRowHeight="12.75"/>
  <cols>
    <col min="1" max="1" width="9.140625" style="86"/>
    <col min="2" max="2" width="7.28515625" style="96" customWidth="1"/>
    <col min="3" max="3" width="48.7109375" style="86" bestFit="1" customWidth="1"/>
    <col min="4" max="4" width="9.140625" style="97"/>
    <col min="5" max="5" width="18.42578125" style="98" customWidth="1"/>
    <col min="6" max="6" width="18.42578125" style="86" customWidth="1"/>
    <col min="7" max="16384" width="9.140625" style="86"/>
  </cols>
  <sheetData>
    <row r="1" spans="1:5" s="83" customFormat="1" ht="18">
      <c r="A1" s="83" t="s">
        <v>217</v>
      </c>
      <c r="D1" s="84"/>
      <c r="E1" s="85"/>
    </row>
    <row r="4" spans="1:5">
      <c r="B4" s="87" t="s">
        <v>218</v>
      </c>
      <c r="C4" s="88"/>
      <c r="D4" s="89"/>
      <c r="E4" s="90"/>
    </row>
    <row r="5" spans="1:5">
      <c r="B5" s="87"/>
      <c r="C5" s="88" t="s">
        <v>306</v>
      </c>
      <c r="D5" s="89" t="s">
        <v>2</v>
      </c>
      <c r="E5" s="91">
        <v>100</v>
      </c>
    </row>
    <row r="6" spans="1:5">
      <c r="B6" s="87"/>
      <c r="C6" s="88" t="s">
        <v>219</v>
      </c>
      <c r="D6" s="89" t="s">
        <v>220</v>
      </c>
      <c r="E6" s="91">
        <f>E5*E8</f>
        <v>80</v>
      </c>
    </row>
    <row r="7" spans="1:5">
      <c r="B7" s="87"/>
      <c r="C7" s="88" t="s">
        <v>221</v>
      </c>
      <c r="D7" s="89" t="s">
        <v>93</v>
      </c>
      <c r="E7" s="91">
        <v>100</v>
      </c>
    </row>
    <row r="8" spans="1:5">
      <c r="B8" s="87"/>
      <c r="C8" s="88" t="s">
        <v>222</v>
      </c>
      <c r="D8" s="89" t="s">
        <v>3</v>
      </c>
      <c r="E8" s="91">
        <v>0.8</v>
      </c>
    </row>
    <row r="9" spans="1:5">
      <c r="B9" s="87" t="s">
        <v>223</v>
      </c>
      <c r="C9" s="88"/>
      <c r="D9" s="89"/>
      <c r="E9" s="90"/>
    </row>
    <row r="10" spans="1:5">
      <c r="B10" s="87"/>
      <c r="C10" s="88" t="s">
        <v>224</v>
      </c>
      <c r="D10" s="89" t="s">
        <v>23</v>
      </c>
      <c r="E10" s="91">
        <v>400</v>
      </c>
    </row>
    <row r="11" spans="1:5">
      <c r="B11" s="87"/>
      <c r="C11" s="88" t="s">
        <v>73</v>
      </c>
      <c r="D11" s="89" t="s">
        <v>75</v>
      </c>
      <c r="E11" s="91">
        <v>210</v>
      </c>
    </row>
    <row r="12" spans="1:5">
      <c r="B12" s="87"/>
      <c r="C12" s="88" t="s">
        <v>225</v>
      </c>
      <c r="D12" s="89" t="s">
        <v>93</v>
      </c>
      <c r="E12" s="91">
        <v>4.5</v>
      </c>
    </row>
    <row r="13" spans="1:5">
      <c r="B13" s="87"/>
      <c r="C13" s="88" t="s">
        <v>226</v>
      </c>
      <c r="D13" s="89" t="s">
        <v>2</v>
      </c>
      <c r="E13" s="92">
        <v>1000</v>
      </c>
    </row>
    <row r="14" spans="1:5">
      <c r="B14" s="87"/>
      <c r="C14" s="88" t="s">
        <v>541</v>
      </c>
      <c r="D14" s="89" t="s">
        <v>227</v>
      </c>
      <c r="E14" s="93">
        <f>E13/SQRT(3)/E10/E12*100</f>
        <v>32.075014954979217</v>
      </c>
    </row>
    <row r="15" spans="1:5">
      <c r="B15" s="87"/>
      <c r="C15" s="88" t="s">
        <v>539</v>
      </c>
      <c r="D15" s="89" t="s">
        <v>3</v>
      </c>
      <c r="E15" s="93">
        <v>1</v>
      </c>
    </row>
    <row r="16" spans="1:5">
      <c r="B16" s="87"/>
      <c r="C16" s="88" t="s">
        <v>549</v>
      </c>
      <c r="D16" s="89" t="s">
        <v>3</v>
      </c>
      <c r="E16" s="93">
        <v>1.05</v>
      </c>
    </row>
    <row r="17" spans="2:6">
      <c r="B17" s="87"/>
      <c r="C17" s="88" t="s">
        <v>548</v>
      </c>
      <c r="D17" s="89"/>
      <c r="E17" s="93">
        <v>0.95</v>
      </c>
    </row>
    <row r="18" spans="2:6">
      <c r="B18" s="87"/>
      <c r="C18" s="88" t="s">
        <v>540</v>
      </c>
      <c r="D18" s="89" t="s">
        <v>3</v>
      </c>
      <c r="E18" s="93">
        <v>1.05</v>
      </c>
    </row>
    <row r="19" spans="2:6">
      <c r="B19" s="87"/>
      <c r="C19" s="88" t="s">
        <v>228</v>
      </c>
      <c r="D19" s="89" t="s">
        <v>3</v>
      </c>
      <c r="E19" s="91" t="s">
        <v>229</v>
      </c>
    </row>
    <row r="20" spans="2:6">
      <c r="B20" s="87" t="s">
        <v>230</v>
      </c>
      <c r="C20" s="88"/>
      <c r="D20" s="89"/>
      <c r="E20" s="90"/>
    </row>
    <row r="21" spans="2:6">
      <c r="B21" s="87"/>
      <c r="C21" s="88" t="s">
        <v>231</v>
      </c>
      <c r="D21" s="89" t="s">
        <v>3</v>
      </c>
      <c r="E21" s="91" t="s">
        <v>232</v>
      </c>
    </row>
    <row r="22" spans="2:6">
      <c r="B22" s="87"/>
      <c r="C22" s="88" t="s">
        <v>233</v>
      </c>
      <c r="D22" s="89" t="s">
        <v>3</v>
      </c>
      <c r="E22" s="91" t="s">
        <v>89</v>
      </c>
    </row>
    <row r="23" spans="2:6">
      <c r="B23" s="87"/>
      <c r="C23" s="88" t="s">
        <v>234</v>
      </c>
      <c r="D23" s="94" t="s">
        <v>235</v>
      </c>
      <c r="E23" s="91">
        <v>1.7240999999999999E-2</v>
      </c>
      <c r="F23" s="86" t="s">
        <v>236</v>
      </c>
    </row>
    <row r="24" spans="2:6">
      <c r="B24" s="87"/>
      <c r="C24" s="88" t="s">
        <v>237</v>
      </c>
      <c r="D24" s="95" t="s">
        <v>238</v>
      </c>
      <c r="E24" s="91">
        <v>3.9300000000000003E-3</v>
      </c>
      <c r="F24" s="86" t="s">
        <v>236</v>
      </c>
    </row>
    <row r="25" spans="2:6">
      <c r="B25" s="87"/>
      <c r="C25" s="88" t="s">
        <v>239</v>
      </c>
      <c r="D25" s="95" t="s">
        <v>240</v>
      </c>
      <c r="E25" s="91">
        <v>90</v>
      </c>
      <c r="F25" s="86" t="s">
        <v>241</v>
      </c>
    </row>
    <row r="26" spans="2:6">
      <c r="B26" s="87"/>
      <c r="C26" s="88" t="s">
        <v>242</v>
      </c>
      <c r="D26" s="89" t="s">
        <v>3</v>
      </c>
      <c r="E26" s="91" t="s">
        <v>243</v>
      </c>
      <c r="F26" s="86" t="s">
        <v>105</v>
      </c>
    </row>
    <row r="27" spans="2:6">
      <c r="B27" s="87"/>
      <c r="C27" s="88" t="s">
        <v>244</v>
      </c>
      <c r="D27" s="89" t="s">
        <v>3</v>
      </c>
      <c r="E27" s="91">
        <v>143</v>
      </c>
      <c r="F27" s="86" t="s">
        <v>245</v>
      </c>
    </row>
    <row r="28" spans="2:6">
      <c r="B28" s="87"/>
      <c r="C28" s="88" t="s">
        <v>545</v>
      </c>
      <c r="D28" s="89" t="s">
        <v>544</v>
      </c>
      <c r="E28" s="91">
        <v>0.08</v>
      </c>
    </row>
    <row r="29" spans="2:6">
      <c r="B29" s="87"/>
      <c r="C29" s="88" t="s">
        <v>246</v>
      </c>
      <c r="D29" s="89" t="s">
        <v>3</v>
      </c>
      <c r="E29" s="91" t="s">
        <v>247</v>
      </c>
    </row>
    <row r="30" spans="2:6">
      <c r="B30" s="87"/>
      <c r="C30" s="88" t="s">
        <v>248</v>
      </c>
      <c r="D30" s="89" t="s">
        <v>3</v>
      </c>
      <c r="E30" s="91" t="s">
        <v>249</v>
      </c>
    </row>
    <row r="31" spans="2:6">
      <c r="B31" s="87"/>
      <c r="C31" s="88" t="s">
        <v>250</v>
      </c>
      <c r="D31" s="89" t="s">
        <v>3</v>
      </c>
      <c r="E31" s="91" t="s">
        <v>251</v>
      </c>
    </row>
    <row r="32" spans="2:6">
      <c r="B32" s="87"/>
      <c r="C32" s="88" t="s">
        <v>252</v>
      </c>
      <c r="D32" s="89" t="s">
        <v>77</v>
      </c>
      <c r="E32" s="91" t="s">
        <v>253</v>
      </c>
    </row>
    <row r="33" spans="2:6">
      <c r="B33" s="87"/>
      <c r="C33" s="88" t="s">
        <v>254</v>
      </c>
      <c r="D33" s="89" t="s">
        <v>3</v>
      </c>
      <c r="E33" s="91">
        <v>3</v>
      </c>
    </row>
    <row r="34" spans="2:6">
      <c r="B34" s="87" t="s">
        <v>255</v>
      </c>
      <c r="C34" s="88"/>
      <c r="D34" s="89"/>
      <c r="E34" s="90"/>
    </row>
    <row r="35" spans="2:6">
      <c r="B35" s="87"/>
      <c r="C35" s="88" t="s">
        <v>256</v>
      </c>
      <c r="D35" s="89" t="s">
        <v>240</v>
      </c>
      <c r="E35" s="91">
        <v>40</v>
      </c>
    </row>
    <row r="36" spans="2:6">
      <c r="B36" s="87"/>
      <c r="C36" s="88" t="s">
        <v>257</v>
      </c>
      <c r="D36" s="89" t="s">
        <v>240</v>
      </c>
      <c r="E36" s="91" t="s">
        <v>3</v>
      </c>
    </row>
    <row r="37" spans="2:6">
      <c r="B37" s="87"/>
      <c r="C37" s="88" t="s">
        <v>258</v>
      </c>
      <c r="D37" s="89" t="s">
        <v>259</v>
      </c>
      <c r="E37" s="91" t="s">
        <v>3</v>
      </c>
    </row>
    <row r="39" spans="2:6">
      <c r="B39" s="96" t="s">
        <v>85</v>
      </c>
      <c r="C39" s="86" t="s">
        <v>84</v>
      </c>
      <c r="D39" s="97" t="s">
        <v>86</v>
      </c>
      <c r="E39" s="99">
        <f>E6*E7/100/E8/SQRT(3)/E10*1000</f>
        <v>144.33756729740645</v>
      </c>
    </row>
    <row r="40" spans="2:6">
      <c r="C40" s="86" t="s">
        <v>260</v>
      </c>
      <c r="D40" s="97" t="s">
        <v>3</v>
      </c>
      <c r="E40" s="100">
        <v>13</v>
      </c>
      <c r="F40" s="86" t="s">
        <v>106</v>
      </c>
    </row>
    <row r="41" spans="2:6">
      <c r="C41" s="86" t="s">
        <v>261</v>
      </c>
      <c r="D41" s="97" t="s">
        <v>3</v>
      </c>
      <c r="E41" s="101" t="s">
        <v>136</v>
      </c>
      <c r="F41" s="86" t="s">
        <v>106</v>
      </c>
    </row>
    <row r="43" spans="2:6">
      <c r="B43" s="96" t="s">
        <v>262</v>
      </c>
    </row>
    <row r="44" spans="2:6">
      <c r="C44" s="86" t="s">
        <v>263</v>
      </c>
      <c r="D44" s="97" t="s">
        <v>3</v>
      </c>
      <c r="E44" s="101">
        <v>0.91</v>
      </c>
      <c r="F44" s="86" t="s">
        <v>118</v>
      </c>
    </row>
    <row r="45" spans="2:6">
      <c r="C45" s="86" t="s">
        <v>264</v>
      </c>
      <c r="D45" s="97" t="s">
        <v>3</v>
      </c>
      <c r="E45" s="101">
        <v>0.96</v>
      </c>
      <c r="F45" s="86" t="s">
        <v>124</v>
      </c>
    </row>
    <row r="46" spans="2:6">
      <c r="C46" s="86" t="s">
        <v>265</v>
      </c>
      <c r="D46" s="97" t="s">
        <v>3</v>
      </c>
      <c r="E46" s="102">
        <f>E44*E45</f>
        <v>0.87360000000000004</v>
      </c>
    </row>
    <row r="47" spans="2:6">
      <c r="B47" s="96" t="s">
        <v>273</v>
      </c>
      <c r="E47" s="99"/>
    </row>
    <row r="48" spans="2:6">
      <c r="C48" s="86" t="s">
        <v>274</v>
      </c>
      <c r="D48" s="97" t="s">
        <v>86</v>
      </c>
      <c r="E48" s="100">
        <v>160</v>
      </c>
    </row>
    <row r="49" spans="2:7">
      <c r="C49" s="86" t="s">
        <v>275</v>
      </c>
      <c r="D49" s="97" t="s">
        <v>86</v>
      </c>
      <c r="E49" s="103">
        <f>E48</f>
        <v>160</v>
      </c>
    </row>
    <row r="50" spans="2:7">
      <c r="C50" s="86" t="s">
        <v>276</v>
      </c>
      <c r="D50" s="97" t="s">
        <v>86</v>
      </c>
      <c r="E50" s="117" t="s">
        <v>3</v>
      </c>
    </row>
    <row r="51" spans="2:7">
      <c r="C51" s="86" t="s">
        <v>117</v>
      </c>
      <c r="D51" s="97" t="s">
        <v>3</v>
      </c>
      <c r="E51" s="196">
        <v>1.6</v>
      </c>
      <c r="F51" s="86" t="s">
        <v>562</v>
      </c>
    </row>
    <row r="52" spans="2:7">
      <c r="C52" s="86" t="s">
        <v>277</v>
      </c>
      <c r="D52" s="97" t="s">
        <v>86</v>
      </c>
      <c r="E52" s="99">
        <f>E51*E49</f>
        <v>256</v>
      </c>
    </row>
    <row r="53" spans="2:7">
      <c r="C53" s="86" t="s">
        <v>278</v>
      </c>
      <c r="D53" s="97" t="s">
        <v>227</v>
      </c>
      <c r="E53" s="103">
        <v>100</v>
      </c>
    </row>
    <row r="54" spans="2:7">
      <c r="C54" s="86" t="s">
        <v>279</v>
      </c>
      <c r="D54" s="97" t="s">
        <v>3</v>
      </c>
      <c r="E54" s="101" t="s">
        <v>3</v>
      </c>
    </row>
    <row r="55" spans="2:7">
      <c r="E55" s="124"/>
    </row>
    <row r="56" spans="2:7">
      <c r="E56" s="98" t="s">
        <v>563</v>
      </c>
      <c r="F56" s="98" t="s">
        <v>564</v>
      </c>
    </row>
    <row r="57" spans="2:7">
      <c r="B57" s="96" t="s">
        <v>213</v>
      </c>
    </row>
    <row r="58" spans="2:7">
      <c r="C58" s="96" t="s">
        <v>266</v>
      </c>
      <c r="D58" s="105" t="s">
        <v>77</v>
      </c>
      <c r="E58" s="106">
        <v>50</v>
      </c>
      <c r="F58" s="106">
        <v>70</v>
      </c>
      <c r="G58" s="96" t="s">
        <v>267</v>
      </c>
    </row>
    <row r="59" spans="2:7">
      <c r="C59" s="86" t="s">
        <v>268</v>
      </c>
      <c r="D59" s="97" t="s">
        <v>77</v>
      </c>
      <c r="E59" s="107">
        <v>50</v>
      </c>
      <c r="F59" s="107">
        <v>70</v>
      </c>
      <c r="G59" s="86" t="s">
        <v>269</v>
      </c>
    </row>
    <row r="60" spans="2:7">
      <c r="C60" s="86" t="s">
        <v>270</v>
      </c>
      <c r="D60" s="97" t="s">
        <v>86</v>
      </c>
      <c r="E60" s="107">
        <v>207</v>
      </c>
      <c r="F60" s="107">
        <v>207</v>
      </c>
      <c r="G60" s="86" t="s">
        <v>267</v>
      </c>
    </row>
    <row r="61" spans="2:7">
      <c r="C61" s="86" t="s">
        <v>271</v>
      </c>
      <c r="D61" s="97" t="s">
        <v>86</v>
      </c>
      <c r="E61" s="99">
        <f>E60*E46</f>
        <v>180.83520000000001</v>
      </c>
      <c r="F61" s="99">
        <f>F60*F46</f>
        <v>0</v>
      </c>
    </row>
    <row r="62" spans="2:7">
      <c r="C62" s="86" t="s">
        <v>272</v>
      </c>
      <c r="D62" s="97" t="s">
        <v>86</v>
      </c>
      <c r="E62" s="99">
        <f>1.45*E61</f>
        <v>262.21104000000003</v>
      </c>
      <c r="F62" s="99">
        <f>1.45*F61</f>
        <v>0</v>
      </c>
    </row>
    <row r="63" spans="2:7">
      <c r="B63" s="96" t="s">
        <v>280</v>
      </c>
      <c r="F63" s="98"/>
    </row>
    <row r="64" spans="2:7">
      <c r="C64" s="86" t="s">
        <v>281</v>
      </c>
      <c r="D64" s="97" t="s">
        <v>140</v>
      </c>
      <c r="E64" s="98" t="str">
        <f>IF(E39&lt;=E49,"OK!","!!!!!!!!!")</f>
        <v>OK!</v>
      </c>
      <c r="F64" s="98" t="str">
        <f>IF(F39&lt;=F49,"OK!","!!!!!!!!!")</f>
        <v>OK!</v>
      </c>
    </row>
    <row r="65" spans="2:7">
      <c r="C65" s="86" t="s">
        <v>282</v>
      </c>
      <c r="D65" s="97" t="s">
        <v>140</v>
      </c>
      <c r="E65" s="98" t="str">
        <f>IF(E49&lt;=E61,"OK!","!!!!!!!!!")</f>
        <v>OK!</v>
      </c>
      <c r="F65" s="98" t="str">
        <f>IF(F49&lt;=F61,"OK!","!!!!!!!!!")</f>
        <v>OK!</v>
      </c>
    </row>
    <row r="66" spans="2:7">
      <c r="C66" s="86" t="s">
        <v>283</v>
      </c>
      <c r="D66" s="97" t="s">
        <v>140</v>
      </c>
      <c r="E66" s="98" t="str">
        <f>IF(E52&lt;=E62,"OK!","!!!!!!!!!")</f>
        <v>OK!</v>
      </c>
      <c r="F66" s="98" t="str">
        <f>IF(F52&lt;=F62,"OK!","!!!!!!!!!")</f>
        <v>OK!</v>
      </c>
    </row>
    <row r="67" spans="2:7">
      <c r="B67" s="96" t="s">
        <v>295</v>
      </c>
      <c r="F67" s="98"/>
    </row>
    <row r="68" spans="2:7" s="109" customFormat="1">
      <c r="B68" s="108"/>
      <c r="C68" s="109" t="s">
        <v>285</v>
      </c>
      <c r="D68" s="110" t="s">
        <v>235</v>
      </c>
      <c r="E68" s="111">
        <f>$E$23*(1+$E$24*($E$25-20))</f>
        <v>2.1983999100000002E-2</v>
      </c>
      <c r="F68" s="111">
        <f>$E$23*(1+$E$24*($E$25-20))</f>
        <v>2.1983999100000002E-2</v>
      </c>
    </row>
    <row r="69" spans="2:7">
      <c r="C69" s="115" t="s">
        <v>296</v>
      </c>
      <c r="D69" s="97" t="s">
        <v>93</v>
      </c>
      <c r="E69" s="116">
        <v>0.05</v>
      </c>
      <c r="F69" s="116">
        <v>0.05</v>
      </c>
      <c r="G69" s="86" t="s">
        <v>99</v>
      </c>
    </row>
    <row r="70" spans="2:7">
      <c r="C70" s="86" t="s">
        <v>297</v>
      </c>
      <c r="D70" s="97" t="s">
        <v>23</v>
      </c>
      <c r="E70" s="99">
        <f>(E68*$E$11/E58*$E$8+0.08/1000*$E$11*SIN(ACOS($E$8)))*$E$39</f>
        <v>12.116595628887431</v>
      </c>
      <c r="F70" s="99">
        <f>(F68*$E$11/F58*$E$8+0.08/1000*$E$11*SIN(ACOS($E$8)))*$E$39</f>
        <v>9.0704033573075531</v>
      </c>
    </row>
    <row r="71" spans="2:7" ht="15">
      <c r="C71" s="115" t="s">
        <v>298</v>
      </c>
      <c r="D71" s="97" t="s">
        <v>93</v>
      </c>
      <c r="E71" s="118">
        <f>E70*SQRT(3)/$E$10</f>
        <v>5.2466398110000007E-2</v>
      </c>
      <c r="F71" s="118">
        <f>F70*SQRT(3)/$E$10</f>
        <v>3.9275998650000005E-2</v>
      </c>
    </row>
    <row r="72" spans="2:7">
      <c r="C72" s="86" t="s">
        <v>299</v>
      </c>
      <c r="D72" s="97" t="s">
        <v>140</v>
      </c>
      <c r="E72" s="98" t="str">
        <f>IF(E71&lt;=E69,"OK!","!!!!!!!!!")</f>
        <v>!!!!!!!!!</v>
      </c>
      <c r="F72" s="98" t="str">
        <f>IF(F71&lt;=F69,"OK!","!!!!!!!!!")</f>
        <v>OK!</v>
      </c>
    </row>
    <row r="73" spans="2:7">
      <c r="B73" s="96" t="s">
        <v>284</v>
      </c>
      <c r="F73" s="98"/>
    </row>
    <row r="74" spans="2:7">
      <c r="C74" s="86" t="s">
        <v>555</v>
      </c>
      <c r="D74" s="112" t="s">
        <v>542</v>
      </c>
      <c r="E74" s="102">
        <f>$E$17*$E$18*$E$10/SQRT(3)/$E$14</f>
        <v>7.1819999999999986</v>
      </c>
      <c r="F74" s="102">
        <f>$E$17*$E$18*$E$10/SQRT(3)/$E$14</f>
        <v>7.1819999999999986</v>
      </c>
    </row>
    <row r="75" spans="2:7">
      <c r="C75" s="86" t="s">
        <v>546</v>
      </c>
      <c r="D75" s="112" t="s">
        <v>542</v>
      </c>
      <c r="E75" s="114">
        <f>E68*$E$11*(1/E58+1/E59)*1000</f>
        <v>184.66559244000001</v>
      </c>
      <c r="F75" s="114">
        <f>F68*$E$11*(1/F58+1/F59)*1000</f>
        <v>131.90399460000003</v>
      </c>
    </row>
    <row r="76" spans="2:7">
      <c r="C76" s="86" t="s">
        <v>547</v>
      </c>
      <c r="D76" s="112" t="s">
        <v>542</v>
      </c>
      <c r="E76" s="114">
        <f>E68*$E$11*2/E58*1000</f>
        <v>184.66559244000001</v>
      </c>
      <c r="F76" s="114">
        <f>F68*$E$11*2/F58*1000</f>
        <v>131.90399460000003</v>
      </c>
    </row>
    <row r="77" spans="2:7">
      <c r="C77" s="86" t="s">
        <v>543</v>
      </c>
      <c r="D77" s="112" t="s">
        <v>542</v>
      </c>
      <c r="E77" s="102">
        <f>2*$E$28*$E$11</f>
        <v>33.6</v>
      </c>
      <c r="F77" s="102">
        <f>2*$E$28*$E$11</f>
        <v>33.6</v>
      </c>
    </row>
    <row r="78" spans="2:7">
      <c r="C78" s="86" t="s">
        <v>550</v>
      </c>
      <c r="D78" s="112" t="s">
        <v>542</v>
      </c>
      <c r="E78" s="114">
        <f>SQRT(E75^2+E77^2)</f>
        <v>187.69747209596667</v>
      </c>
      <c r="F78" s="114">
        <f>SQRT(F75^2+F77^2)</f>
        <v>136.11621428557598</v>
      </c>
    </row>
    <row r="79" spans="2:7">
      <c r="C79" s="86" t="s">
        <v>553</v>
      </c>
      <c r="D79" s="112" t="s">
        <v>542</v>
      </c>
      <c r="E79" s="114">
        <f>SQRT(E76^2+E77^2)</f>
        <v>187.69747209596667</v>
      </c>
      <c r="F79" s="114">
        <f>SQRT(F76^2+F77^2)</f>
        <v>136.11621428557598</v>
      </c>
    </row>
    <row r="80" spans="2:7">
      <c r="C80" s="86" t="s">
        <v>551</v>
      </c>
      <c r="D80" s="112" t="s">
        <v>542</v>
      </c>
      <c r="E80" s="114">
        <f>E74+E78</f>
        <v>194.87947209596666</v>
      </c>
      <c r="F80" s="114">
        <f>F74+F78</f>
        <v>143.29821428557597</v>
      </c>
    </row>
    <row r="81" spans="2:7">
      <c r="C81" s="86" t="s">
        <v>552</v>
      </c>
      <c r="D81" s="112" t="s">
        <v>542</v>
      </c>
      <c r="E81" s="114">
        <f>E74+E79</f>
        <v>194.87947209596666</v>
      </c>
      <c r="F81" s="114">
        <f>F74+F79</f>
        <v>143.29821428557597</v>
      </c>
    </row>
    <row r="82" spans="2:7">
      <c r="C82" s="86" t="s">
        <v>556</v>
      </c>
      <c r="D82" s="97" t="s">
        <v>86</v>
      </c>
      <c r="E82" s="113">
        <f>$E$17*$E$18*$E$10/SQRT(3)/E80*1000</f>
        <v>1182.0781066833999</v>
      </c>
      <c r="F82" s="113">
        <f>$E$17*$E$18*$E$10/SQRT(3)/F80*1000</f>
        <v>1607.5759112222827</v>
      </c>
    </row>
    <row r="83" spans="2:7">
      <c r="C83" s="86" t="s">
        <v>557</v>
      </c>
      <c r="D83" s="97" t="s">
        <v>86</v>
      </c>
      <c r="E83" s="113">
        <f>$E$17*$E$18*$E$10/E81*1000</f>
        <v>2047.4193392904717</v>
      </c>
      <c r="F83" s="113">
        <f>$E$17*$E$18*$E$10/F81*1000</f>
        <v>2784.403155260828</v>
      </c>
    </row>
    <row r="84" spans="2:7">
      <c r="C84" s="86" t="s">
        <v>554</v>
      </c>
      <c r="D84" s="97" t="s">
        <v>86</v>
      </c>
      <c r="E84" s="113">
        <f>MIN(E82:E83)</f>
        <v>1182.0781066833999</v>
      </c>
      <c r="F84" s="113">
        <f>MIN(F82:F83)</f>
        <v>1607.5759112222827</v>
      </c>
    </row>
    <row r="85" spans="2:7">
      <c r="C85" s="86" t="s">
        <v>286</v>
      </c>
      <c r="D85" s="97" t="s">
        <v>287</v>
      </c>
      <c r="E85" s="113">
        <v>5</v>
      </c>
      <c r="F85" s="113">
        <v>5</v>
      </c>
    </row>
    <row r="86" spans="2:7">
      <c r="C86" s="86" t="s">
        <v>288</v>
      </c>
      <c r="D86" s="97" t="s">
        <v>3</v>
      </c>
      <c r="E86" s="99">
        <f>E84/$E$49</f>
        <v>7.3879881667712493</v>
      </c>
      <c r="F86" s="99">
        <f>F84/$E$49</f>
        <v>10.047349445139266</v>
      </c>
    </row>
    <row r="87" spans="2:7">
      <c r="C87" s="86" t="s">
        <v>289</v>
      </c>
      <c r="D87" s="97" t="s">
        <v>287</v>
      </c>
      <c r="E87" s="114">
        <f>($E$27*E58/E84)^2</f>
        <v>36.586404864105255</v>
      </c>
      <c r="F87" s="114">
        <f>($E$27*F58/F84)^2</f>
        <v>38.772622360879517</v>
      </c>
    </row>
    <row r="88" spans="2:7">
      <c r="C88" s="86" t="s">
        <v>290</v>
      </c>
      <c r="D88" s="97" t="s">
        <v>287</v>
      </c>
      <c r="E88" s="101">
        <v>0.4</v>
      </c>
      <c r="F88" s="101">
        <v>0.15</v>
      </c>
      <c r="G88" s="86" t="s">
        <v>291</v>
      </c>
    </row>
    <row r="89" spans="2:7">
      <c r="C89" s="86" t="s">
        <v>292</v>
      </c>
      <c r="D89" s="97" t="s">
        <v>140</v>
      </c>
      <c r="E89" s="98" t="str">
        <f>IF(E14&lt;=E53,"OK!","!!!!!!!!!")</f>
        <v>OK!</v>
      </c>
      <c r="F89" s="98" t="str">
        <f>IF(F14&lt;=F53,"OK!","!!!!!!!!!")</f>
        <v>OK!</v>
      </c>
    </row>
    <row r="90" spans="2:7">
      <c r="C90" s="86" t="s">
        <v>293</v>
      </c>
      <c r="D90" s="97" t="s">
        <v>140</v>
      </c>
      <c r="E90" s="98" t="str">
        <f>IF(E88&lt;=E87,"OK!","!!!!!!!!!")</f>
        <v>OK!</v>
      </c>
      <c r="F90" s="98" t="str">
        <f>IF(F88&lt;=F87,"OK!","!!!!!!!!!")</f>
        <v>OK!</v>
      </c>
    </row>
    <row r="91" spans="2:7">
      <c r="C91" s="86" t="s">
        <v>294</v>
      </c>
      <c r="D91" s="97" t="s">
        <v>140</v>
      </c>
      <c r="E91" s="98" t="str">
        <f>IF(E88&lt;=E85,"OK!","!!!!!!!!!")</f>
        <v>OK!</v>
      </c>
      <c r="F91" s="98" t="str">
        <f>IF(F88&lt;=F85,"OK!","!!!!!!!!!")</f>
        <v>OK!</v>
      </c>
    </row>
    <row r="92" spans="2:7">
      <c r="B92" s="96" t="s">
        <v>300</v>
      </c>
      <c r="F92" s="98"/>
    </row>
    <row r="93" spans="2:7">
      <c r="C93" s="86" t="s">
        <v>301</v>
      </c>
      <c r="D93" s="112" t="s">
        <v>542</v>
      </c>
      <c r="E93" s="102">
        <f>E80</f>
        <v>194.87947209596666</v>
      </c>
      <c r="F93" s="102">
        <f>F80</f>
        <v>143.29821428557597</v>
      </c>
    </row>
    <row r="94" spans="2:7">
      <c r="C94" s="86" t="s">
        <v>302</v>
      </c>
      <c r="D94" s="97" t="s">
        <v>287</v>
      </c>
      <c r="E94" s="103">
        <v>0.4</v>
      </c>
      <c r="F94" s="103">
        <v>0.4</v>
      </c>
    </row>
    <row r="95" spans="2:7">
      <c r="C95" s="86" t="s">
        <v>303</v>
      </c>
      <c r="D95" s="97" t="s">
        <v>86</v>
      </c>
      <c r="E95" s="104">
        <v>1200</v>
      </c>
      <c r="F95" s="104">
        <f>$E$95</f>
        <v>1200</v>
      </c>
    </row>
    <row r="96" spans="2:7">
      <c r="C96" s="86" t="s">
        <v>304</v>
      </c>
      <c r="D96" s="97" t="s">
        <v>23</v>
      </c>
      <c r="E96" s="99">
        <f>E93*E95/1000</f>
        <v>233.85536651515997</v>
      </c>
      <c r="F96" s="99">
        <f>F93*F95/1000</f>
        <v>171.95785714269115</v>
      </c>
    </row>
    <row r="97" spans="2:6">
      <c r="C97" s="86" t="s">
        <v>305</v>
      </c>
      <c r="D97" s="97" t="s">
        <v>140</v>
      </c>
      <c r="E97" s="98" t="str">
        <f>IF(E96&lt;=($E$10/SQRT(3)),"OK!","!!!!!!!!!")</f>
        <v>!!!!!!!!!</v>
      </c>
      <c r="F97" s="98" t="str">
        <f>IF(F96&lt;=($E$10/SQRT(3)),"OK!","!!!!!!!!!")</f>
        <v>OK!</v>
      </c>
    </row>
    <row r="98" spans="2:6">
      <c r="B98" s="96" t="s">
        <v>312</v>
      </c>
    </row>
    <row r="99" spans="2:6">
      <c r="C99" s="119" t="s">
        <v>565</v>
      </c>
    </row>
    <row r="100" spans="2:6">
      <c r="C100" s="119" t="s">
        <v>566</v>
      </c>
    </row>
  </sheetData>
  <conditionalFormatting sqref="E72:F72 E97:F97">
    <cfRule type="cellIs" dxfId="6" priority="3" operator="notEqual">
      <formula>"OK!"</formula>
    </cfRule>
  </conditionalFormatting>
  <pageMargins left="0.68" right="0.75" top="0.47" bottom="0.57999999999999996" header="0" footer="0"/>
  <pageSetup paperSize="9" scale="73" orientation="portrait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99"/>
  <sheetViews>
    <sheetView workbookViewId="0">
      <selection activeCell="I18" sqref="I18"/>
    </sheetView>
  </sheetViews>
  <sheetFormatPr defaultColWidth="9.140625" defaultRowHeight="12.75"/>
  <cols>
    <col min="1" max="1" width="9.140625" style="86"/>
    <col min="2" max="2" width="7.28515625" style="96" customWidth="1"/>
    <col min="3" max="3" width="48.7109375" style="86" bestFit="1" customWidth="1"/>
    <col min="4" max="4" width="9.140625" style="97"/>
    <col min="5" max="5" width="19" style="98" bestFit="1" customWidth="1"/>
    <col min="6" max="6" width="14.28515625" style="86" bestFit="1" customWidth="1"/>
    <col min="7" max="16384" width="9.140625" style="86"/>
  </cols>
  <sheetData>
    <row r="1" spans="1:5" s="83" customFormat="1" ht="18">
      <c r="A1" s="83" t="s">
        <v>307</v>
      </c>
      <c r="D1" s="84"/>
      <c r="E1" s="85"/>
    </row>
    <row r="4" spans="1:5">
      <c r="B4" s="87" t="s">
        <v>218</v>
      </c>
      <c r="C4" s="88"/>
      <c r="D4" s="89"/>
      <c r="E4" s="90"/>
    </row>
    <row r="5" spans="1:5">
      <c r="B5" s="87"/>
      <c r="C5" s="88" t="s">
        <v>219</v>
      </c>
      <c r="D5" s="89" t="s">
        <v>220</v>
      </c>
      <c r="E5" s="91">
        <v>212</v>
      </c>
    </row>
    <row r="6" spans="1:5">
      <c r="B6" s="87"/>
      <c r="C6" s="88" t="s">
        <v>221</v>
      </c>
      <c r="D6" s="89" t="s">
        <v>93</v>
      </c>
      <c r="E6" s="91">
        <v>77</v>
      </c>
    </row>
    <row r="7" spans="1:5">
      <c r="B7" s="87"/>
      <c r="C7" s="88" t="s">
        <v>222</v>
      </c>
      <c r="D7" s="89" t="s">
        <v>3</v>
      </c>
      <c r="E7" s="91">
        <v>0.98</v>
      </c>
    </row>
    <row r="8" spans="1:5">
      <c r="B8" s="87" t="s">
        <v>223</v>
      </c>
      <c r="C8" s="88"/>
      <c r="D8" s="89"/>
      <c r="E8" s="90"/>
    </row>
    <row r="9" spans="1:5">
      <c r="B9" s="87"/>
      <c r="C9" s="88" t="s">
        <v>224</v>
      </c>
      <c r="D9" s="89" t="s">
        <v>23</v>
      </c>
      <c r="E9" s="91">
        <v>400</v>
      </c>
    </row>
    <row r="10" spans="1:5">
      <c r="B10" s="87"/>
      <c r="C10" s="88" t="s">
        <v>73</v>
      </c>
      <c r="D10" s="89" t="s">
        <v>75</v>
      </c>
      <c r="E10" s="91">
        <v>50</v>
      </c>
    </row>
    <row r="11" spans="1:5">
      <c r="B11" s="87"/>
      <c r="C11" s="88" t="s">
        <v>225</v>
      </c>
      <c r="D11" s="89" t="s">
        <v>93</v>
      </c>
      <c r="E11" s="91">
        <v>4.2450000000000001</v>
      </c>
    </row>
    <row r="12" spans="1:5">
      <c r="B12" s="87"/>
      <c r="C12" s="88" t="s">
        <v>226</v>
      </c>
      <c r="D12" s="89" t="s">
        <v>2</v>
      </c>
      <c r="E12" s="92">
        <v>1000</v>
      </c>
    </row>
    <row r="13" spans="1:5">
      <c r="B13" s="87"/>
      <c r="C13" s="88" t="s">
        <v>541</v>
      </c>
      <c r="D13" s="89" t="s">
        <v>227</v>
      </c>
      <c r="E13" s="93">
        <f>E12/SQRT(3)/E9/E11*100</f>
        <v>34.001782637787144</v>
      </c>
    </row>
    <row r="14" spans="1:5">
      <c r="B14" s="87"/>
      <c r="C14" s="88" t="s">
        <v>539</v>
      </c>
      <c r="D14" s="89" t="s">
        <v>3</v>
      </c>
      <c r="E14" s="191">
        <v>1</v>
      </c>
    </row>
    <row r="15" spans="1:5">
      <c r="B15" s="87"/>
      <c r="C15" s="88" t="s">
        <v>549</v>
      </c>
      <c r="D15" s="89" t="s">
        <v>3</v>
      </c>
      <c r="E15" s="93">
        <v>1.05</v>
      </c>
    </row>
    <row r="16" spans="1:5">
      <c r="B16" s="87"/>
      <c r="C16" s="88" t="s">
        <v>548</v>
      </c>
      <c r="D16" s="89"/>
      <c r="E16" s="93">
        <v>0.95</v>
      </c>
    </row>
    <row r="17" spans="2:6">
      <c r="B17" s="87"/>
      <c r="C17" s="88" t="s">
        <v>540</v>
      </c>
      <c r="D17" s="89" t="s">
        <v>3</v>
      </c>
      <c r="E17" s="93">
        <v>1.05</v>
      </c>
    </row>
    <row r="18" spans="2:6">
      <c r="B18" s="87"/>
      <c r="C18" s="88" t="s">
        <v>228</v>
      </c>
      <c r="D18" s="89" t="s">
        <v>3</v>
      </c>
      <c r="E18" s="91" t="s">
        <v>229</v>
      </c>
    </row>
    <row r="19" spans="2:6">
      <c r="B19" s="87" t="s">
        <v>230</v>
      </c>
      <c r="C19" s="88"/>
      <c r="D19" s="89"/>
      <c r="E19" s="90"/>
    </row>
    <row r="20" spans="2:6">
      <c r="B20" s="87"/>
      <c r="C20" s="88" t="s">
        <v>231</v>
      </c>
      <c r="D20" s="89" t="s">
        <v>3</v>
      </c>
      <c r="E20" s="91" t="s">
        <v>232</v>
      </c>
    </row>
    <row r="21" spans="2:6">
      <c r="B21" s="87"/>
      <c r="C21" s="88" t="s">
        <v>233</v>
      </c>
      <c r="D21" s="89" t="s">
        <v>3</v>
      </c>
      <c r="E21" s="91" t="s">
        <v>89</v>
      </c>
    </row>
    <row r="22" spans="2:6">
      <c r="B22" s="87"/>
      <c r="C22" s="88" t="s">
        <v>234</v>
      </c>
      <c r="D22" s="94" t="s">
        <v>235</v>
      </c>
      <c r="E22" s="91">
        <v>1.7240999999999999E-2</v>
      </c>
      <c r="F22" s="86" t="s">
        <v>236</v>
      </c>
    </row>
    <row r="23" spans="2:6">
      <c r="B23" s="87"/>
      <c r="C23" s="88" t="s">
        <v>237</v>
      </c>
      <c r="D23" s="95" t="s">
        <v>238</v>
      </c>
      <c r="E23" s="91">
        <v>3.9300000000000003E-3</v>
      </c>
      <c r="F23" s="86" t="s">
        <v>236</v>
      </c>
    </row>
    <row r="24" spans="2:6">
      <c r="B24" s="87"/>
      <c r="C24" s="88" t="s">
        <v>239</v>
      </c>
      <c r="D24" s="95" t="s">
        <v>240</v>
      </c>
      <c r="E24" s="91">
        <v>90</v>
      </c>
      <c r="F24" s="86" t="s">
        <v>241</v>
      </c>
    </row>
    <row r="25" spans="2:6">
      <c r="B25" s="87"/>
      <c r="C25" s="88" t="s">
        <v>242</v>
      </c>
      <c r="D25" s="89" t="s">
        <v>3</v>
      </c>
      <c r="E25" s="91" t="s">
        <v>243</v>
      </c>
      <c r="F25" s="86" t="s">
        <v>105</v>
      </c>
    </row>
    <row r="26" spans="2:6">
      <c r="B26" s="87"/>
      <c r="C26" s="88" t="s">
        <v>244</v>
      </c>
      <c r="D26" s="89" t="s">
        <v>3</v>
      </c>
      <c r="E26" s="91">
        <v>143</v>
      </c>
      <c r="F26" s="86" t="s">
        <v>245</v>
      </c>
    </row>
    <row r="27" spans="2:6">
      <c r="B27" s="87"/>
      <c r="C27" s="88" t="s">
        <v>545</v>
      </c>
      <c r="D27" s="89" t="s">
        <v>544</v>
      </c>
      <c r="E27" s="91">
        <v>0.08</v>
      </c>
    </row>
    <row r="28" spans="2:6">
      <c r="B28" s="87"/>
      <c r="C28" s="88" t="s">
        <v>246</v>
      </c>
      <c r="D28" s="89" t="s">
        <v>3</v>
      </c>
      <c r="E28" s="91" t="s">
        <v>247</v>
      </c>
    </row>
    <row r="29" spans="2:6">
      <c r="B29" s="87"/>
      <c r="C29" s="88" t="s">
        <v>248</v>
      </c>
      <c r="D29" s="89" t="s">
        <v>3</v>
      </c>
      <c r="E29" s="91" t="s">
        <v>533</v>
      </c>
    </row>
    <row r="30" spans="2:6">
      <c r="B30" s="87"/>
      <c r="C30" s="88" t="s">
        <v>250</v>
      </c>
      <c r="D30" s="89" t="s">
        <v>3</v>
      </c>
      <c r="E30" s="91" t="s">
        <v>251</v>
      </c>
    </row>
    <row r="31" spans="2:6">
      <c r="B31" s="87"/>
      <c r="C31" s="88" t="s">
        <v>252</v>
      </c>
      <c r="D31" s="89" t="s">
        <v>77</v>
      </c>
      <c r="E31" s="91" t="s">
        <v>253</v>
      </c>
    </row>
    <row r="32" spans="2:6">
      <c r="B32" s="87"/>
      <c r="C32" s="88" t="s">
        <v>254</v>
      </c>
      <c r="D32" s="89" t="s">
        <v>3</v>
      </c>
      <c r="E32" s="91">
        <v>3</v>
      </c>
    </row>
    <row r="33" spans="2:6">
      <c r="B33" s="87" t="s">
        <v>255</v>
      </c>
      <c r="C33" s="88"/>
      <c r="D33" s="89"/>
      <c r="E33" s="90"/>
    </row>
    <row r="34" spans="2:6">
      <c r="B34" s="87"/>
      <c r="C34" s="88" t="s">
        <v>256</v>
      </c>
      <c r="D34" s="89" t="s">
        <v>240</v>
      </c>
      <c r="E34" s="91">
        <v>45</v>
      </c>
    </row>
    <row r="35" spans="2:6">
      <c r="B35" s="87"/>
      <c r="C35" s="88" t="s">
        <v>257</v>
      </c>
      <c r="D35" s="89" t="s">
        <v>240</v>
      </c>
      <c r="E35" s="91">
        <v>30</v>
      </c>
    </row>
    <row r="36" spans="2:6">
      <c r="B36" s="87"/>
      <c r="C36" s="88" t="s">
        <v>258</v>
      </c>
      <c r="D36" s="89" t="s">
        <v>259</v>
      </c>
      <c r="E36" s="91">
        <v>1.2</v>
      </c>
    </row>
    <row r="38" spans="2:6">
      <c r="B38" s="96" t="s">
        <v>85</v>
      </c>
      <c r="C38" s="86" t="s">
        <v>84</v>
      </c>
      <c r="D38" s="97" t="s">
        <v>86</v>
      </c>
      <c r="E38" s="99">
        <f>E5*E6/100/E7/SQRT(3)/E9*1000</f>
        <v>240.42514781253703</v>
      </c>
    </row>
    <row r="39" spans="2:6">
      <c r="C39" s="86" t="s">
        <v>260</v>
      </c>
      <c r="D39" s="97" t="s">
        <v>3</v>
      </c>
      <c r="E39" s="100">
        <v>61</v>
      </c>
      <c r="F39" s="86" t="s">
        <v>106</v>
      </c>
    </row>
    <row r="40" spans="2:6">
      <c r="C40" s="86" t="s">
        <v>261</v>
      </c>
      <c r="D40" s="97" t="s">
        <v>3</v>
      </c>
      <c r="E40" s="101" t="s">
        <v>107</v>
      </c>
      <c r="F40" s="86" t="s">
        <v>106</v>
      </c>
    </row>
    <row r="42" spans="2:6">
      <c r="B42" s="96" t="s">
        <v>262</v>
      </c>
    </row>
    <row r="43" spans="2:6">
      <c r="C43" s="86" t="s">
        <v>534</v>
      </c>
      <c r="D43" s="97" t="s">
        <v>3</v>
      </c>
      <c r="E43" s="101">
        <v>0.93</v>
      </c>
      <c r="F43" s="86" t="s">
        <v>119</v>
      </c>
    </row>
    <row r="44" spans="2:6">
      <c r="C44" s="86" t="s">
        <v>535</v>
      </c>
      <c r="D44" s="97" t="s">
        <v>3</v>
      </c>
      <c r="E44" s="101">
        <v>0.94</v>
      </c>
      <c r="F44" s="86" t="s">
        <v>536</v>
      </c>
    </row>
    <row r="45" spans="2:6">
      <c r="C45" s="86" t="s">
        <v>537</v>
      </c>
      <c r="D45" s="97" t="s">
        <v>3</v>
      </c>
      <c r="E45" s="101">
        <v>0.8</v>
      </c>
      <c r="F45" s="86" t="s">
        <v>126</v>
      </c>
    </row>
    <row r="46" spans="2:6">
      <c r="C46" s="86" t="s">
        <v>265</v>
      </c>
      <c r="D46" s="97" t="s">
        <v>3</v>
      </c>
      <c r="E46" s="102">
        <f>E43*E44*E45</f>
        <v>0.69935999999999998</v>
      </c>
    </row>
    <row r="47" spans="2:6">
      <c r="B47" s="96" t="s">
        <v>273</v>
      </c>
      <c r="E47" s="99"/>
    </row>
    <row r="48" spans="2:6">
      <c r="C48" s="86" t="s">
        <v>274</v>
      </c>
      <c r="D48" s="97" t="s">
        <v>86</v>
      </c>
      <c r="E48" s="100">
        <v>250</v>
      </c>
    </row>
    <row r="49" spans="2:6">
      <c r="C49" s="86" t="s">
        <v>275</v>
      </c>
      <c r="D49" s="97" t="s">
        <v>86</v>
      </c>
      <c r="E49" s="103">
        <v>244</v>
      </c>
    </row>
    <row r="50" spans="2:6">
      <c r="C50" s="86" t="s">
        <v>276</v>
      </c>
      <c r="D50" s="97" t="s">
        <v>86</v>
      </c>
      <c r="E50" s="104">
        <f>10*E48</f>
        <v>2500</v>
      </c>
    </row>
    <row r="51" spans="2:6">
      <c r="C51" s="119" t="s">
        <v>314</v>
      </c>
      <c r="D51" s="122" t="s">
        <v>3</v>
      </c>
      <c r="E51" s="123">
        <v>1.3</v>
      </c>
      <c r="F51" s="119" t="s">
        <v>315</v>
      </c>
    </row>
    <row r="52" spans="2:6">
      <c r="C52" s="86" t="s">
        <v>277</v>
      </c>
      <c r="D52" s="97" t="s">
        <v>86</v>
      </c>
      <c r="E52" s="99">
        <f>E51*E49</f>
        <v>317.2</v>
      </c>
    </row>
    <row r="53" spans="2:6">
      <c r="C53" s="86" t="s">
        <v>278</v>
      </c>
      <c r="D53" s="97" t="s">
        <v>227</v>
      </c>
      <c r="E53" s="103">
        <v>36</v>
      </c>
      <c r="F53" s="119" t="s">
        <v>316</v>
      </c>
    </row>
    <row r="54" spans="2:6">
      <c r="C54" s="86" t="s">
        <v>279</v>
      </c>
      <c r="D54" s="97" t="s">
        <v>3</v>
      </c>
      <c r="E54" s="101" t="s">
        <v>3</v>
      </c>
    </row>
    <row r="55" spans="2:6">
      <c r="B55" s="96" t="s">
        <v>213</v>
      </c>
    </row>
    <row r="56" spans="2:6">
      <c r="C56" s="86" t="s">
        <v>538</v>
      </c>
      <c r="D56" s="97" t="s">
        <v>86</v>
      </c>
      <c r="E56" s="190">
        <f>E49/E46</f>
        <v>348.89041409288495</v>
      </c>
    </row>
    <row r="57" spans="2:6">
      <c r="C57" s="96" t="s">
        <v>266</v>
      </c>
      <c r="D57" s="105" t="s">
        <v>77</v>
      </c>
      <c r="E57" s="106">
        <v>150</v>
      </c>
      <c r="F57" s="86" t="s">
        <v>126</v>
      </c>
    </row>
    <row r="58" spans="2:6">
      <c r="C58" s="86" t="s">
        <v>268</v>
      </c>
      <c r="D58" s="97" t="s">
        <v>77</v>
      </c>
      <c r="E58" s="107">
        <f>E57</f>
        <v>150</v>
      </c>
      <c r="F58" s="86" t="s">
        <v>269</v>
      </c>
    </row>
    <row r="59" spans="2:6">
      <c r="C59" s="86" t="s">
        <v>270</v>
      </c>
      <c r="D59" s="97" t="s">
        <v>86</v>
      </c>
      <c r="E59" s="107">
        <v>387</v>
      </c>
      <c r="F59" s="86" t="s">
        <v>267</v>
      </c>
    </row>
    <row r="60" spans="2:6">
      <c r="C60" s="86" t="s">
        <v>271</v>
      </c>
      <c r="D60" s="97" t="s">
        <v>86</v>
      </c>
      <c r="E60" s="99">
        <f>E59*E46</f>
        <v>270.65231999999997</v>
      </c>
    </row>
    <row r="61" spans="2:6">
      <c r="C61" s="86" t="s">
        <v>272</v>
      </c>
      <c r="D61" s="97" t="s">
        <v>86</v>
      </c>
      <c r="E61" s="99">
        <f>1.45*E60</f>
        <v>392.44586399999997</v>
      </c>
    </row>
    <row r="62" spans="2:6">
      <c r="B62" s="96" t="s">
        <v>280</v>
      </c>
    </row>
    <row r="63" spans="2:6">
      <c r="C63" s="86" t="s">
        <v>281</v>
      </c>
      <c r="D63" s="97" t="s">
        <v>140</v>
      </c>
      <c r="E63" s="98" t="str">
        <f>IF(E38&lt;=E49,"OK!","!!!!!!!!!")</f>
        <v>OK!</v>
      </c>
    </row>
    <row r="64" spans="2:6">
      <c r="C64" s="86" t="s">
        <v>282</v>
      </c>
      <c r="D64" s="97" t="s">
        <v>140</v>
      </c>
      <c r="E64" s="98" t="str">
        <f>IF(E49&lt;=E60,"OK!","!!!!!!!!!")</f>
        <v>OK!</v>
      </c>
    </row>
    <row r="65" spans="2:6">
      <c r="C65" s="86" t="s">
        <v>283</v>
      </c>
      <c r="D65" s="97" t="s">
        <v>140</v>
      </c>
      <c r="E65" s="98" t="str">
        <f>IF(E52&lt;=E61,"OK!","!!!!!!!!!")</f>
        <v>OK!</v>
      </c>
    </row>
    <row r="66" spans="2:6">
      <c r="B66" s="96" t="s">
        <v>295</v>
      </c>
    </row>
    <row r="67" spans="2:6" s="109" customFormat="1">
      <c r="B67" s="108"/>
      <c r="C67" s="109" t="s">
        <v>285</v>
      </c>
      <c r="D67" s="110" t="s">
        <v>235</v>
      </c>
      <c r="E67" s="111">
        <f>E22*(1+E23*(E24-20))</f>
        <v>2.1983999100000002E-2</v>
      </c>
    </row>
    <row r="68" spans="2:6">
      <c r="C68" s="115" t="s">
        <v>296</v>
      </c>
      <c r="D68" s="97" t="s">
        <v>93</v>
      </c>
      <c r="E68" s="116">
        <v>0.05</v>
      </c>
      <c r="F68" s="86" t="s">
        <v>99</v>
      </c>
    </row>
    <row r="69" spans="2:6">
      <c r="C69" s="86" t="s">
        <v>297</v>
      </c>
      <c r="D69" s="97" t="s">
        <v>23</v>
      </c>
      <c r="E69" s="99">
        <f>(E67*E10/E57*E7+0.08/1000*E10*SIN(ACOS(E7)))*E38</f>
        <v>1.9179747041322535</v>
      </c>
    </row>
    <row r="70" spans="2:6" ht="15">
      <c r="C70" s="115" t="s">
        <v>298</v>
      </c>
      <c r="D70" s="97" t="s">
        <v>93</v>
      </c>
      <c r="E70" s="118">
        <f>E69*SQRT(3)/E9</f>
        <v>8.3050740879723698E-3</v>
      </c>
    </row>
    <row r="71" spans="2:6">
      <c r="C71" s="86" t="s">
        <v>299</v>
      </c>
      <c r="D71" s="97" t="s">
        <v>140</v>
      </c>
      <c r="E71" s="98" t="str">
        <f>IF(E70&lt;=E68,"OK!","!!!!!!!!!")</f>
        <v>OK!</v>
      </c>
    </row>
    <row r="72" spans="2:6">
      <c r="B72" s="96" t="s">
        <v>284</v>
      </c>
    </row>
    <row r="73" spans="2:6">
      <c r="C73" s="86" t="s">
        <v>555</v>
      </c>
      <c r="D73" s="112" t="s">
        <v>542</v>
      </c>
      <c r="E73" s="102">
        <f>E16*E17*E9/SQRT(3)/E13</f>
        <v>6.7750200000000014</v>
      </c>
    </row>
    <row r="74" spans="2:6">
      <c r="C74" s="86" t="s">
        <v>546</v>
      </c>
      <c r="D74" s="112" t="s">
        <v>542</v>
      </c>
      <c r="E74" s="102">
        <f>E67*E10*(1/E57+1/E58)*1000</f>
        <v>14.655999400000001</v>
      </c>
    </row>
    <row r="75" spans="2:6">
      <c r="C75" s="86" t="s">
        <v>547</v>
      </c>
      <c r="D75" s="112" t="s">
        <v>542</v>
      </c>
      <c r="E75" s="102">
        <f>E67*E10*2/E57*1000</f>
        <v>14.655999399999999</v>
      </c>
    </row>
    <row r="76" spans="2:6">
      <c r="C76" s="86" t="s">
        <v>543</v>
      </c>
      <c r="D76" s="112" t="s">
        <v>542</v>
      </c>
      <c r="E76" s="102">
        <f>E27*E10*2</f>
        <v>8</v>
      </c>
    </row>
    <row r="77" spans="2:6">
      <c r="C77" s="86" t="s">
        <v>550</v>
      </c>
      <c r="D77" s="112" t="s">
        <v>542</v>
      </c>
      <c r="E77" s="192">
        <f>SQRT(E74^2+E76^2)</f>
        <v>16.697254816669727</v>
      </c>
    </row>
    <row r="78" spans="2:6">
      <c r="C78" s="86" t="s">
        <v>553</v>
      </c>
      <c r="D78" s="112" t="s">
        <v>542</v>
      </c>
      <c r="E78" s="192">
        <f>SQRT(E75^2+E76^2)</f>
        <v>16.697254816669723</v>
      </c>
    </row>
    <row r="79" spans="2:6">
      <c r="C79" s="86" t="s">
        <v>551</v>
      </c>
      <c r="D79" s="112" t="s">
        <v>542</v>
      </c>
      <c r="E79" s="102">
        <f>E73+E77</f>
        <v>23.472274816669728</v>
      </c>
    </row>
    <row r="80" spans="2:6">
      <c r="C80" s="86" t="s">
        <v>552</v>
      </c>
      <c r="D80" s="112" t="s">
        <v>542</v>
      </c>
      <c r="E80" s="102">
        <f>E73+E78</f>
        <v>23.472274816669724</v>
      </c>
    </row>
    <row r="81" spans="2:6">
      <c r="C81" s="86" t="s">
        <v>556</v>
      </c>
      <c r="D81" s="97" t="s">
        <v>86</v>
      </c>
      <c r="E81" s="113">
        <f>E16*E17*E9/SQRT(3)/E79*1000</f>
        <v>9814.2493305787229</v>
      </c>
    </row>
    <row r="82" spans="2:6">
      <c r="C82" s="86" t="s">
        <v>557</v>
      </c>
      <c r="D82" s="97" t="s">
        <v>86</v>
      </c>
      <c r="E82" s="113">
        <f>E16*E17*E9/E80*1000</f>
        <v>16998.778478711192</v>
      </c>
    </row>
    <row r="83" spans="2:6">
      <c r="C83" s="86" t="s">
        <v>554</v>
      </c>
      <c r="D83" s="97" t="s">
        <v>86</v>
      </c>
      <c r="E83" s="113">
        <f>MIN(E81:E82)</f>
        <v>9814.2493305787229</v>
      </c>
    </row>
    <row r="84" spans="2:6">
      <c r="C84" s="86" t="s">
        <v>286</v>
      </c>
      <c r="D84" s="97" t="s">
        <v>287</v>
      </c>
      <c r="E84" s="113">
        <v>5</v>
      </c>
    </row>
    <row r="85" spans="2:6">
      <c r="C85" s="86" t="s">
        <v>288</v>
      </c>
      <c r="D85" s="97" t="s">
        <v>3</v>
      </c>
      <c r="E85" s="194">
        <f>E83/E49</f>
        <v>40.222333322043944</v>
      </c>
    </row>
    <row r="86" spans="2:6">
      <c r="C86" s="86" t="s">
        <v>289</v>
      </c>
      <c r="D86" s="97" t="s">
        <v>287</v>
      </c>
      <c r="E86" s="193">
        <f>(E26*E57/E83)^2</f>
        <v>4.776836965903156</v>
      </c>
    </row>
    <row r="87" spans="2:6">
      <c r="C87" s="86" t="s">
        <v>290</v>
      </c>
      <c r="D87" s="97" t="s">
        <v>287</v>
      </c>
      <c r="E87" s="101">
        <v>0.01</v>
      </c>
      <c r="F87" s="86" t="s">
        <v>291</v>
      </c>
    </row>
    <row r="88" spans="2:6">
      <c r="C88" s="86" t="s">
        <v>558</v>
      </c>
      <c r="D88" s="97" t="s">
        <v>140</v>
      </c>
      <c r="E88" s="98" t="str">
        <f>IF(E13&lt;=E53,"OK!","!!!!!!!!!")</f>
        <v>OK!</v>
      </c>
    </row>
    <row r="89" spans="2:6">
      <c r="C89" s="86" t="s">
        <v>293</v>
      </c>
      <c r="D89" s="97" t="s">
        <v>140</v>
      </c>
      <c r="E89" s="98" t="str">
        <f>IF(E87&lt;=E86,"OK!","!!!!!!!!!")</f>
        <v>OK!</v>
      </c>
    </row>
    <row r="90" spans="2:6">
      <c r="C90" s="86" t="s">
        <v>294</v>
      </c>
      <c r="D90" s="97" t="s">
        <v>140</v>
      </c>
      <c r="E90" s="98" t="str">
        <f>IF(E87&lt;=E84,"OK!","!!!!!!!!!")</f>
        <v>OK!</v>
      </c>
    </row>
    <row r="91" spans="2:6">
      <c r="B91" s="96" t="s">
        <v>300</v>
      </c>
    </row>
    <row r="92" spans="2:6">
      <c r="C92" s="86" t="s">
        <v>301</v>
      </c>
      <c r="D92" s="112" t="s">
        <v>542</v>
      </c>
      <c r="E92" s="102">
        <f>E79</f>
        <v>23.472274816669728</v>
      </c>
    </row>
    <row r="93" spans="2:6">
      <c r="C93" s="86" t="s">
        <v>302</v>
      </c>
      <c r="D93" s="97" t="s">
        <v>287</v>
      </c>
      <c r="E93" s="103">
        <v>0.4</v>
      </c>
      <c r="F93" s="86" t="s">
        <v>560</v>
      </c>
    </row>
    <row r="94" spans="2:6">
      <c r="C94" s="86" t="s">
        <v>303</v>
      </c>
      <c r="D94" s="97" t="s">
        <v>86</v>
      </c>
      <c r="E94" s="104">
        <v>2500</v>
      </c>
    </row>
    <row r="95" spans="2:6">
      <c r="C95" s="86" t="s">
        <v>304</v>
      </c>
      <c r="D95" s="97" t="s">
        <v>23</v>
      </c>
      <c r="E95" s="99">
        <f>E92*E94/1000</f>
        <v>58.680687041674318</v>
      </c>
    </row>
    <row r="96" spans="2:6">
      <c r="C96" s="86" t="s">
        <v>305</v>
      </c>
      <c r="D96" s="97" t="s">
        <v>140</v>
      </c>
      <c r="E96" s="98" t="str">
        <f>IF(E95&lt;=(E9/SQRT(3)),"OK!","!!!!!!!!!")</f>
        <v>OK!</v>
      </c>
    </row>
    <row r="97" spans="2:3">
      <c r="B97" s="96" t="s">
        <v>312</v>
      </c>
    </row>
    <row r="98" spans="2:3">
      <c r="C98" s="119" t="s">
        <v>587</v>
      </c>
    </row>
    <row r="99" spans="2:3">
      <c r="C99" s="119" t="s">
        <v>559</v>
      </c>
    </row>
  </sheetData>
  <pageMargins left="0.68" right="0.75" top="0.47" bottom="0.57999999999999996" header="0" footer="0"/>
  <pageSetup paperSize="9" scale="73" orientation="portrait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dimension ref="C8:K34"/>
  <sheetViews>
    <sheetView workbookViewId="0">
      <selection activeCell="C24" sqref="C24"/>
    </sheetView>
  </sheetViews>
  <sheetFormatPr defaultRowHeight="15"/>
  <cols>
    <col min="4" max="4" width="13.28515625" customWidth="1"/>
    <col min="5" max="5" width="9.140625" style="5"/>
    <col min="6" max="6" width="9.140625" style="1"/>
    <col min="7" max="7" width="11" bestFit="1" customWidth="1"/>
  </cols>
  <sheetData>
    <row r="8" spans="3:11">
      <c r="C8" s="47" t="s">
        <v>590</v>
      </c>
      <c r="K8" s="47" t="s">
        <v>600</v>
      </c>
    </row>
    <row r="9" spans="3:11">
      <c r="D9" s="47" t="s">
        <v>592</v>
      </c>
      <c r="E9" s="5" t="s">
        <v>86</v>
      </c>
      <c r="F9" s="203">
        <f>'07.2'!N42*1000</f>
        <v>51843.141707104274</v>
      </c>
      <c r="K9" s="47" t="s">
        <v>77</v>
      </c>
    </row>
    <row r="10" spans="3:11">
      <c r="D10" s="47" t="s">
        <v>593</v>
      </c>
      <c r="E10" s="5" t="s">
        <v>3</v>
      </c>
      <c r="F10" s="1">
        <v>143</v>
      </c>
      <c r="K10">
        <v>1.5</v>
      </c>
    </row>
    <row r="11" spans="3:11">
      <c r="D11" s="47" t="s">
        <v>594</v>
      </c>
      <c r="E11" s="5" t="s">
        <v>287</v>
      </c>
      <c r="F11" s="1">
        <v>0.5</v>
      </c>
      <c r="G11" s="47" t="s">
        <v>602</v>
      </c>
      <c r="K11">
        <v>2.5</v>
      </c>
    </row>
    <row r="12" spans="3:11">
      <c r="D12" s="47" t="s">
        <v>591</v>
      </c>
      <c r="E12" s="5" t="s">
        <v>77</v>
      </c>
      <c r="F12" s="204">
        <f>F9*SQRT(F11)/F10</f>
        <v>256.35410530845144</v>
      </c>
      <c r="G12" s="47" t="s">
        <v>597</v>
      </c>
      <c r="K12">
        <v>4</v>
      </c>
    </row>
    <row r="13" spans="3:11" s="47" customFormat="1">
      <c r="D13" s="47" t="s">
        <v>599</v>
      </c>
      <c r="E13" s="5" t="s">
        <v>77</v>
      </c>
      <c r="F13" s="205" t="s">
        <v>209</v>
      </c>
      <c r="K13" s="47">
        <v>6</v>
      </c>
    </row>
    <row r="14" spans="3:11">
      <c r="K14">
        <v>10</v>
      </c>
    </row>
    <row r="15" spans="3:11">
      <c r="D15" s="47" t="s">
        <v>595</v>
      </c>
      <c r="E15" s="5" t="s">
        <v>77</v>
      </c>
      <c r="F15" s="1" t="s">
        <v>378</v>
      </c>
      <c r="K15">
        <v>16</v>
      </c>
    </row>
    <row r="16" spans="3:11">
      <c r="D16" s="47" t="s">
        <v>596</v>
      </c>
      <c r="E16" s="5" t="s">
        <v>77</v>
      </c>
      <c r="F16" s="1" t="s">
        <v>209</v>
      </c>
      <c r="G16" s="47" t="s">
        <v>269</v>
      </c>
      <c r="K16">
        <v>25</v>
      </c>
    </row>
    <row r="17" spans="3:11">
      <c r="D17" s="47"/>
      <c r="K17">
        <v>35</v>
      </c>
    </row>
    <row r="18" spans="3:11" ht="15.75" thickBot="1">
      <c r="K18">
        <v>50</v>
      </c>
    </row>
    <row r="19" spans="3:11" ht="15.75" thickBot="1">
      <c r="D19" s="201" t="s">
        <v>598</v>
      </c>
      <c r="E19" s="202" t="s">
        <v>77</v>
      </c>
      <c r="F19" s="206" t="s">
        <v>209</v>
      </c>
      <c r="K19">
        <v>70</v>
      </c>
    </row>
    <row r="20" spans="3:11">
      <c r="K20">
        <v>95</v>
      </c>
    </row>
    <row r="21" spans="3:11">
      <c r="K21">
        <v>120</v>
      </c>
    </row>
    <row r="22" spans="3:11">
      <c r="K22">
        <v>150</v>
      </c>
    </row>
    <row r="23" spans="3:11">
      <c r="C23" s="47" t="s">
        <v>603</v>
      </c>
      <c r="D23" s="47"/>
      <c r="G23" s="47"/>
      <c r="K23">
        <v>185</v>
      </c>
    </row>
    <row r="24" spans="3:11">
      <c r="C24" s="47"/>
      <c r="D24" s="47" t="s">
        <v>592</v>
      </c>
      <c r="E24" s="5" t="s">
        <v>86</v>
      </c>
      <c r="F24" s="203">
        <f>'07.2'!N44*1000</f>
        <v>44559.365128683967</v>
      </c>
      <c r="G24" s="47"/>
      <c r="K24">
        <v>240</v>
      </c>
    </row>
    <row r="25" spans="3:11">
      <c r="C25" s="47"/>
      <c r="D25" s="47" t="s">
        <v>593</v>
      </c>
      <c r="E25" s="5" t="s">
        <v>3</v>
      </c>
      <c r="F25" s="1">
        <v>176</v>
      </c>
      <c r="G25" s="47"/>
      <c r="K25">
        <v>300</v>
      </c>
    </row>
    <row r="26" spans="3:11">
      <c r="C26" s="47"/>
      <c r="D26" s="47" t="s">
        <v>594</v>
      </c>
      <c r="E26" s="5" t="s">
        <v>287</v>
      </c>
      <c r="F26" s="1">
        <v>5.0000000000000001E-3</v>
      </c>
      <c r="G26" s="47" t="s">
        <v>601</v>
      </c>
    </row>
    <row r="27" spans="3:11">
      <c r="C27" s="47"/>
      <c r="D27" s="47" t="s">
        <v>591</v>
      </c>
      <c r="E27" s="5" t="s">
        <v>77</v>
      </c>
      <c r="F27" s="204">
        <f>F24*SQRT(F26)/F25</f>
        <v>17.902402981738529</v>
      </c>
      <c r="G27" s="47" t="s">
        <v>597</v>
      </c>
    </row>
    <row r="28" spans="3:11">
      <c r="C28" s="47"/>
      <c r="D28" s="47" t="s">
        <v>599</v>
      </c>
      <c r="E28" s="5" t="s">
        <v>77</v>
      </c>
      <c r="F28" s="205">
        <v>25</v>
      </c>
      <c r="G28" s="47"/>
    </row>
    <row r="29" spans="3:11">
      <c r="C29" s="47"/>
      <c r="D29" s="47"/>
      <c r="G29" s="47"/>
    </row>
    <row r="30" spans="3:11">
      <c r="C30" s="47"/>
      <c r="D30" s="47" t="s">
        <v>595</v>
      </c>
      <c r="E30" s="5" t="s">
        <v>77</v>
      </c>
      <c r="F30" s="1">
        <v>16</v>
      </c>
      <c r="G30" s="47"/>
    </row>
    <row r="31" spans="3:11">
      <c r="C31" s="47"/>
      <c r="D31" s="47" t="s">
        <v>596</v>
      </c>
      <c r="E31" s="5" t="s">
        <v>77</v>
      </c>
      <c r="F31" s="1">
        <v>16</v>
      </c>
      <c r="G31" s="47" t="s">
        <v>269</v>
      </c>
    </row>
    <row r="32" spans="3:11">
      <c r="C32" s="47"/>
      <c r="D32" s="47" t="s">
        <v>598</v>
      </c>
      <c r="E32" s="5" t="s">
        <v>77</v>
      </c>
      <c r="F32" s="1">
        <v>16</v>
      </c>
      <c r="G32" s="47"/>
    </row>
    <row r="33" spans="3:7" ht="15.75" thickBot="1">
      <c r="C33" s="47"/>
      <c r="D33" s="47"/>
      <c r="G33" s="47"/>
    </row>
    <row r="34" spans="3:7" ht="15.75" thickBot="1">
      <c r="C34" s="47"/>
      <c r="D34" s="201" t="s">
        <v>598</v>
      </c>
      <c r="E34" s="202" t="s">
        <v>77</v>
      </c>
      <c r="F34" s="206">
        <f>F32</f>
        <v>16</v>
      </c>
      <c r="G34" s="4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C3:T31"/>
  <sheetViews>
    <sheetView workbookViewId="0">
      <selection activeCell="G8" sqref="G8"/>
    </sheetView>
  </sheetViews>
  <sheetFormatPr defaultRowHeight="15"/>
  <cols>
    <col min="3" max="3" width="10.85546875" customWidth="1"/>
    <col min="4" max="4" width="7.140625" customWidth="1"/>
    <col min="5" max="18" width="6.140625" customWidth="1"/>
    <col min="19" max="19" width="6.140625" style="47" customWidth="1"/>
    <col min="20" max="20" width="6.140625" customWidth="1"/>
  </cols>
  <sheetData>
    <row r="3" spans="3:20">
      <c r="C3" s="47" t="s">
        <v>604</v>
      </c>
    </row>
    <row r="5" spans="3:20">
      <c r="C5" s="47" t="s">
        <v>605</v>
      </c>
      <c r="D5">
        <v>1</v>
      </c>
    </row>
    <row r="6" spans="3:20">
      <c r="C6" s="47" t="s">
        <v>606</v>
      </c>
    </row>
    <row r="7" spans="3:20" s="47" customFormat="1">
      <c r="C7" s="47" t="s">
        <v>98</v>
      </c>
      <c r="D7" s="47">
        <v>230</v>
      </c>
    </row>
    <row r="8" spans="3:20">
      <c r="C8" s="47" t="s">
        <v>89</v>
      </c>
      <c r="D8">
        <v>2.2499999999999999E-2</v>
      </c>
    </row>
    <row r="9" spans="3:20">
      <c r="C9" s="47" t="s">
        <v>607</v>
      </c>
      <c r="D9">
        <v>10</v>
      </c>
    </row>
    <row r="12" spans="3:20">
      <c r="C12" s="211" t="s">
        <v>609</v>
      </c>
      <c r="D12" s="208" t="s">
        <v>608</v>
      </c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10"/>
    </row>
    <row r="13" spans="3:20">
      <c r="C13" s="212" t="s">
        <v>77</v>
      </c>
      <c r="D13" s="213">
        <v>16</v>
      </c>
      <c r="E13" s="213">
        <v>20</v>
      </c>
      <c r="F13" s="213">
        <v>25</v>
      </c>
      <c r="G13" s="213">
        <v>32</v>
      </c>
      <c r="H13" s="213">
        <v>40</v>
      </c>
      <c r="I13" s="213">
        <v>50</v>
      </c>
      <c r="J13" s="213">
        <v>63</v>
      </c>
      <c r="K13" s="213">
        <v>80</v>
      </c>
      <c r="L13" s="213">
        <v>100</v>
      </c>
      <c r="M13" s="213">
        <v>125</v>
      </c>
      <c r="N13" s="213">
        <v>160</v>
      </c>
      <c r="O13" s="213">
        <v>200</v>
      </c>
      <c r="P13" s="213">
        <v>250</v>
      </c>
      <c r="Q13" s="213">
        <v>320</v>
      </c>
      <c r="R13" s="213">
        <v>400</v>
      </c>
      <c r="S13" s="213">
        <v>500</v>
      </c>
      <c r="T13" s="213">
        <v>630</v>
      </c>
    </row>
    <row r="14" spans="3:20">
      <c r="C14" s="214">
        <v>1.5</v>
      </c>
      <c r="D14" s="207">
        <f>0.8*$D$7*$C14/(2*$D$8*(1+$D$5)*D$13*$D$9)</f>
        <v>19.166666666666668</v>
      </c>
      <c r="E14" s="207">
        <f t="shared" ref="E14:T28" si="0">0.8*$D$7*$C14/(2*$D$8*(1+$D$5)*E$13*$D$9)</f>
        <v>15.333333333333334</v>
      </c>
      <c r="F14" s="207">
        <f t="shared" si="0"/>
        <v>12.266666666666667</v>
      </c>
      <c r="G14" s="207">
        <f t="shared" si="0"/>
        <v>9.5833333333333339</v>
      </c>
      <c r="H14" s="207">
        <f t="shared" si="0"/>
        <v>7.666666666666667</v>
      </c>
      <c r="I14" s="207">
        <f t="shared" si="0"/>
        <v>6.1333333333333337</v>
      </c>
      <c r="J14" s="207">
        <f t="shared" si="0"/>
        <v>4.8677248677248679</v>
      </c>
      <c r="K14" s="207">
        <f t="shared" si="0"/>
        <v>3.8333333333333335</v>
      </c>
      <c r="L14" s="207"/>
      <c r="M14" s="207"/>
      <c r="N14" s="9"/>
      <c r="O14" s="9"/>
      <c r="P14" s="9"/>
      <c r="Q14" s="9"/>
      <c r="R14" s="9"/>
      <c r="S14" s="9"/>
      <c r="T14" s="9"/>
    </row>
    <row r="15" spans="3:20">
      <c r="C15" s="214">
        <v>2.5</v>
      </c>
      <c r="D15" s="207">
        <f>0.8*$D$7*$C15/(2*$D$8*(1+$D$5)*D$13*$D$9)</f>
        <v>31.944444444444446</v>
      </c>
      <c r="E15" s="207">
        <f t="shared" si="0"/>
        <v>25.555555555555557</v>
      </c>
      <c r="F15" s="207">
        <f t="shared" si="0"/>
        <v>20.444444444444443</v>
      </c>
      <c r="G15" s="207">
        <f t="shared" si="0"/>
        <v>15.972222222222223</v>
      </c>
      <c r="H15" s="207">
        <f t="shared" si="0"/>
        <v>12.777777777777779</v>
      </c>
      <c r="I15" s="207">
        <f t="shared" si="0"/>
        <v>10.222222222222221</v>
      </c>
      <c r="J15" s="207">
        <f t="shared" si="0"/>
        <v>8.1128747795414462</v>
      </c>
      <c r="K15" s="207">
        <f t="shared" si="0"/>
        <v>6.3888888888888893</v>
      </c>
      <c r="L15" s="207">
        <f t="shared" si="0"/>
        <v>5.1111111111111107</v>
      </c>
      <c r="M15" s="207">
        <f t="shared" si="0"/>
        <v>4.0888888888888886</v>
      </c>
      <c r="N15" s="207"/>
      <c r="O15" s="207"/>
      <c r="P15" s="207"/>
      <c r="Q15" s="207"/>
      <c r="R15" s="207"/>
      <c r="S15" s="207"/>
      <c r="T15" s="207"/>
    </row>
    <row r="16" spans="3:20">
      <c r="C16" s="214">
        <v>4</v>
      </c>
      <c r="D16" s="207">
        <f t="shared" ref="D16:D21" si="1">0.8*$D$7*$C16/(2*$D$8*(1+$D$5)*D$13*$D$9)</f>
        <v>51.111111111111114</v>
      </c>
      <c r="E16" s="207">
        <f t="shared" si="0"/>
        <v>40.888888888888886</v>
      </c>
      <c r="F16" s="207">
        <f t="shared" si="0"/>
        <v>32.711111111111109</v>
      </c>
      <c r="G16" s="207">
        <f t="shared" si="0"/>
        <v>25.555555555555557</v>
      </c>
      <c r="H16" s="207">
        <f t="shared" si="0"/>
        <v>20.444444444444443</v>
      </c>
      <c r="I16" s="207">
        <f t="shared" si="0"/>
        <v>16.355555555555554</v>
      </c>
      <c r="J16" s="207">
        <f t="shared" si="0"/>
        <v>12.980599647266313</v>
      </c>
      <c r="K16" s="207">
        <f t="shared" si="0"/>
        <v>10.222222222222221</v>
      </c>
      <c r="L16" s="207">
        <f t="shared" si="0"/>
        <v>8.1777777777777771</v>
      </c>
      <c r="M16" s="207">
        <f t="shared" si="0"/>
        <v>6.5422222222222226</v>
      </c>
      <c r="N16" s="207">
        <f t="shared" si="0"/>
        <v>5.1111111111111107</v>
      </c>
      <c r="O16" s="207">
        <f t="shared" si="0"/>
        <v>4.0888888888888886</v>
      </c>
      <c r="P16" s="207"/>
      <c r="Q16" s="207"/>
      <c r="R16" s="207"/>
      <c r="S16" s="207"/>
      <c r="T16" s="207"/>
    </row>
    <row r="17" spans="3:20">
      <c r="C17" s="214">
        <v>6</v>
      </c>
      <c r="D17" s="207">
        <f t="shared" si="1"/>
        <v>76.666666666666671</v>
      </c>
      <c r="E17" s="207">
        <f t="shared" si="0"/>
        <v>61.333333333333336</v>
      </c>
      <c r="F17" s="207">
        <f t="shared" si="0"/>
        <v>49.06666666666667</v>
      </c>
      <c r="G17" s="207">
        <f t="shared" si="0"/>
        <v>38.333333333333336</v>
      </c>
      <c r="H17" s="207">
        <f t="shared" si="0"/>
        <v>30.666666666666668</v>
      </c>
      <c r="I17" s="207">
        <f t="shared" si="0"/>
        <v>24.533333333333335</v>
      </c>
      <c r="J17" s="207">
        <f t="shared" si="0"/>
        <v>19.470899470899472</v>
      </c>
      <c r="K17" s="207">
        <f t="shared" si="0"/>
        <v>15.333333333333334</v>
      </c>
      <c r="L17" s="207">
        <f t="shared" si="0"/>
        <v>12.266666666666667</v>
      </c>
      <c r="M17" s="207">
        <f t="shared" si="0"/>
        <v>9.8133333333333326</v>
      </c>
      <c r="N17" s="207">
        <f t="shared" si="0"/>
        <v>7.666666666666667</v>
      </c>
      <c r="O17" s="207">
        <f t="shared" si="0"/>
        <v>6.1333333333333337</v>
      </c>
      <c r="P17" s="207">
        <f t="shared" si="0"/>
        <v>4.9066666666666663</v>
      </c>
      <c r="Q17" s="207"/>
      <c r="R17" s="207"/>
      <c r="S17" s="207"/>
      <c r="T17" s="207"/>
    </row>
    <row r="18" spans="3:20">
      <c r="C18" s="214">
        <v>10</v>
      </c>
      <c r="D18" s="207">
        <f t="shared" si="1"/>
        <v>127.77777777777779</v>
      </c>
      <c r="E18" s="207">
        <f t="shared" si="0"/>
        <v>102.22222222222223</v>
      </c>
      <c r="F18" s="207">
        <f t="shared" si="0"/>
        <v>81.777777777777771</v>
      </c>
      <c r="G18" s="207">
        <f t="shared" si="0"/>
        <v>63.888888888888893</v>
      </c>
      <c r="H18" s="207">
        <f t="shared" si="0"/>
        <v>51.111111111111114</v>
      </c>
      <c r="I18" s="207">
        <f t="shared" si="0"/>
        <v>40.888888888888886</v>
      </c>
      <c r="J18" s="207">
        <f t="shared" si="0"/>
        <v>32.451499118165785</v>
      </c>
      <c r="K18" s="207">
        <f t="shared" si="0"/>
        <v>25.555555555555557</v>
      </c>
      <c r="L18" s="207">
        <f t="shared" si="0"/>
        <v>20.444444444444443</v>
      </c>
      <c r="M18" s="207">
        <f t="shared" si="0"/>
        <v>16.355555555555554</v>
      </c>
      <c r="N18" s="207">
        <f t="shared" si="0"/>
        <v>12.777777777777779</v>
      </c>
      <c r="O18" s="207">
        <f t="shared" si="0"/>
        <v>10.222222222222221</v>
      </c>
      <c r="P18" s="207">
        <f t="shared" si="0"/>
        <v>8.1777777777777771</v>
      </c>
      <c r="Q18" s="207">
        <f t="shared" si="0"/>
        <v>6.3888888888888893</v>
      </c>
      <c r="R18" s="207">
        <f t="shared" si="0"/>
        <v>5.1111111111111107</v>
      </c>
      <c r="S18" s="207"/>
      <c r="T18" s="207"/>
    </row>
    <row r="19" spans="3:20">
      <c r="C19" s="214">
        <v>16</v>
      </c>
      <c r="D19" s="207">
        <f t="shared" si="1"/>
        <v>204.44444444444446</v>
      </c>
      <c r="E19" s="207">
        <f t="shared" si="0"/>
        <v>163.55555555555554</v>
      </c>
      <c r="F19" s="207">
        <f t="shared" si="0"/>
        <v>130.84444444444443</v>
      </c>
      <c r="G19" s="207">
        <f t="shared" si="0"/>
        <v>102.22222222222223</v>
      </c>
      <c r="H19" s="207">
        <f t="shared" si="0"/>
        <v>81.777777777777771</v>
      </c>
      <c r="I19" s="207">
        <f t="shared" si="0"/>
        <v>65.422222222222217</v>
      </c>
      <c r="J19" s="207">
        <f t="shared" si="0"/>
        <v>51.922398589065253</v>
      </c>
      <c r="K19" s="207">
        <f t="shared" si="0"/>
        <v>40.888888888888886</v>
      </c>
      <c r="L19" s="207">
        <f t="shared" si="0"/>
        <v>32.711111111111109</v>
      </c>
      <c r="M19" s="207">
        <f t="shared" si="0"/>
        <v>26.16888888888889</v>
      </c>
      <c r="N19" s="207">
        <f t="shared" si="0"/>
        <v>20.444444444444443</v>
      </c>
      <c r="O19" s="207">
        <f t="shared" si="0"/>
        <v>16.355555555555554</v>
      </c>
      <c r="P19" s="207">
        <f t="shared" si="0"/>
        <v>13.084444444444445</v>
      </c>
      <c r="Q19" s="207">
        <f t="shared" si="0"/>
        <v>10.222222222222221</v>
      </c>
      <c r="R19" s="207">
        <f t="shared" si="0"/>
        <v>8.1777777777777771</v>
      </c>
      <c r="S19" s="207">
        <f t="shared" si="0"/>
        <v>6.5422222222222226</v>
      </c>
      <c r="T19" s="207">
        <f t="shared" si="0"/>
        <v>5.1922398589065253</v>
      </c>
    </row>
    <row r="20" spans="3:20">
      <c r="C20" s="214">
        <v>25</v>
      </c>
      <c r="D20" s="207">
        <f t="shared" si="1"/>
        <v>319.44444444444446</v>
      </c>
      <c r="E20" s="207">
        <f t="shared" si="0"/>
        <v>255.55555555555554</v>
      </c>
      <c r="F20" s="207">
        <f t="shared" si="0"/>
        <v>204.44444444444446</v>
      </c>
      <c r="G20" s="207">
        <f t="shared" si="0"/>
        <v>159.72222222222223</v>
      </c>
      <c r="H20" s="207">
        <f t="shared" si="0"/>
        <v>127.77777777777777</v>
      </c>
      <c r="I20" s="207">
        <f t="shared" si="0"/>
        <v>102.22222222222223</v>
      </c>
      <c r="J20" s="207">
        <f t="shared" si="0"/>
        <v>81.128747795414455</v>
      </c>
      <c r="K20" s="207">
        <f t="shared" si="0"/>
        <v>63.888888888888886</v>
      </c>
      <c r="L20" s="207">
        <f t="shared" si="0"/>
        <v>51.111111111111114</v>
      </c>
      <c r="M20" s="207">
        <f t="shared" si="0"/>
        <v>40.888888888888886</v>
      </c>
      <c r="N20" s="207">
        <f t="shared" si="0"/>
        <v>31.944444444444443</v>
      </c>
      <c r="O20" s="207">
        <f t="shared" si="0"/>
        <v>25.555555555555557</v>
      </c>
      <c r="P20" s="207">
        <f t="shared" si="0"/>
        <v>20.444444444444443</v>
      </c>
      <c r="Q20" s="207">
        <f t="shared" si="0"/>
        <v>15.972222222222221</v>
      </c>
      <c r="R20" s="207">
        <f t="shared" si="0"/>
        <v>12.777777777777779</v>
      </c>
      <c r="S20" s="207">
        <f t="shared" si="0"/>
        <v>10.222222222222221</v>
      </c>
      <c r="T20" s="207">
        <f t="shared" si="0"/>
        <v>8.1128747795414462</v>
      </c>
    </row>
    <row r="21" spans="3:20">
      <c r="C21" s="214">
        <v>35</v>
      </c>
      <c r="D21" s="207">
        <f t="shared" si="1"/>
        <v>447.22222222222229</v>
      </c>
      <c r="E21" s="207">
        <f t="shared" si="0"/>
        <v>357.77777777777777</v>
      </c>
      <c r="F21" s="207">
        <f t="shared" si="0"/>
        <v>286.22222222222223</v>
      </c>
      <c r="G21" s="207">
        <f t="shared" si="0"/>
        <v>223.61111111111114</v>
      </c>
      <c r="H21" s="207">
        <f t="shared" si="0"/>
        <v>178.88888888888889</v>
      </c>
      <c r="I21" s="207">
        <f t="shared" si="0"/>
        <v>143.11111111111111</v>
      </c>
      <c r="J21" s="207">
        <f t="shared" si="0"/>
        <v>113.58024691358024</v>
      </c>
      <c r="K21" s="207">
        <f t="shared" si="0"/>
        <v>89.444444444444443</v>
      </c>
      <c r="L21" s="207">
        <f t="shared" si="0"/>
        <v>71.555555555555557</v>
      </c>
      <c r="M21" s="207">
        <f t="shared" si="0"/>
        <v>57.244444444444447</v>
      </c>
      <c r="N21" s="207">
        <f t="shared" si="0"/>
        <v>44.722222222222221</v>
      </c>
      <c r="O21" s="207">
        <f t="shared" si="0"/>
        <v>35.777777777777779</v>
      </c>
      <c r="P21" s="207">
        <f t="shared" si="0"/>
        <v>28.622222222222224</v>
      </c>
      <c r="Q21" s="207">
        <f t="shared" si="0"/>
        <v>22.361111111111111</v>
      </c>
      <c r="R21" s="207">
        <f t="shared" si="0"/>
        <v>17.888888888888889</v>
      </c>
      <c r="S21" s="207">
        <f t="shared" si="0"/>
        <v>14.311111111111112</v>
      </c>
      <c r="T21" s="207">
        <f t="shared" si="0"/>
        <v>11.358024691358025</v>
      </c>
    </row>
    <row r="22" spans="3:20">
      <c r="C22" s="214">
        <v>50</v>
      </c>
      <c r="D22" s="207"/>
      <c r="E22" s="207">
        <f t="shared" si="0"/>
        <v>511.11111111111109</v>
      </c>
      <c r="F22" s="207">
        <f t="shared" si="0"/>
        <v>408.88888888888891</v>
      </c>
      <c r="G22" s="207">
        <f t="shared" si="0"/>
        <v>319.44444444444446</v>
      </c>
      <c r="H22" s="207">
        <f t="shared" si="0"/>
        <v>255.55555555555554</v>
      </c>
      <c r="I22" s="207">
        <f t="shared" si="0"/>
        <v>204.44444444444446</v>
      </c>
      <c r="J22" s="207">
        <f t="shared" si="0"/>
        <v>162.25749559082891</v>
      </c>
      <c r="K22" s="207">
        <f t="shared" si="0"/>
        <v>127.77777777777777</v>
      </c>
      <c r="L22" s="207">
        <f t="shared" si="0"/>
        <v>102.22222222222223</v>
      </c>
      <c r="M22" s="207">
        <f t="shared" si="0"/>
        <v>81.777777777777771</v>
      </c>
      <c r="N22" s="207">
        <f t="shared" si="0"/>
        <v>63.888888888888886</v>
      </c>
      <c r="O22" s="207">
        <f t="shared" si="0"/>
        <v>51.111111111111114</v>
      </c>
      <c r="P22" s="207">
        <f t="shared" si="0"/>
        <v>40.888888888888886</v>
      </c>
      <c r="Q22" s="207">
        <f t="shared" si="0"/>
        <v>31.944444444444443</v>
      </c>
      <c r="R22" s="207">
        <f t="shared" si="0"/>
        <v>25.555555555555557</v>
      </c>
      <c r="S22" s="207">
        <f t="shared" si="0"/>
        <v>20.444444444444443</v>
      </c>
      <c r="T22" s="207">
        <f t="shared" si="0"/>
        <v>16.225749559082892</v>
      </c>
    </row>
    <row r="23" spans="3:20">
      <c r="C23" s="214">
        <v>70</v>
      </c>
      <c r="D23" s="207"/>
      <c r="E23" s="207"/>
      <c r="F23" s="207">
        <f t="shared" si="0"/>
        <v>572.44444444444446</v>
      </c>
      <c r="G23" s="207">
        <f t="shared" si="0"/>
        <v>447.22222222222229</v>
      </c>
      <c r="H23" s="207">
        <f t="shared" si="0"/>
        <v>357.77777777777777</v>
      </c>
      <c r="I23" s="207">
        <f t="shared" si="0"/>
        <v>286.22222222222223</v>
      </c>
      <c r="J23" s="207">
        <f t="shared" si="0"/>
        <v>227.16049382716048</v>
      </c>
      <c r="K23" s="207">
        <f t="shared" si="0"/>
        <v>178.88888888888889</v>
      </c>
      <c r="L23" s="207">
        <f t="shared" si="0"/>
        <v>143.11111111111111</v>
      </c>
      <c r="M23" s="207">
        <f t="shared" si="0"/>
        <v>114.48888888888889</v>
      </c>
      <c r="N23" s="207">
        <f t="shared" si="0"/>
        <v>89.444444444444443</v>
      </c>
      <c r="O23" s="207">
        <f t="shared" si="0"/>
        <v>71.555555555555557</v>
      </c>
      <c r="P23" s="207">
        <f t="shared" si="0"/>
        <v>57.244444444444447</v>
      </c>
      <c r="Q23" s="207">
        <f t="shared" si="0"/>
        <v>44.722222222222221</v>
      </c>
      <c r="R23" s="207">
        <f t="shared" si="0"/>
        <v>35.777777777777779</v>
      </c>
      <c r="S23" s="207">
        <f t="shared" si="0"/>
        <v>28.622222222222224</v>
      </c>
      <c r="T23" s="207">
        <f t="shared" si="0"/>
        <v>22.716049382716051</v>
      </c>
    </row>
    <row r="24" spans="3:20">
      <c r="C24" s="214">
        <v>95</v>
      </c>
      <c r="D24" s="207"/>
      <c r="E24" s="207"/>
      <c r="F24" s="207"/>
      <c r="G24" s="207">
        <f t="shared" si="0"/>
        <v>606.94444444444446</v>
      </c>
      <c r="H24" s="207">
        <f t="shared" si="0"/>
        <v>485.55555555555554</v>
      </c>
      <c r="I24" s="207">
        <f t="shared" si="0"/>
        <v>388.44444444444446</v>
      </c>
      <c r="J24" s="207">
        <f t="shared" si="0"/>
        <v>308.28924162257493</v>
      </c>
      <c r="K24" s="207">
        <f t="shared" si="0"/>
        <v>242.77777777777777</v>
      </c>
      <c r="L24" s="207">
        <f t="shared" si="0"/>
        <v>194.22222222222223</v>
      </c>
      <c r="M24" s="207">
        <f t="shared" si="0"/>
        <v>155.37777777777777</v>
      </c>
      <c r="N24" s="207">
        <f t="shared" si="0"/>
        <v>121.38888888888889</v>
      </c>
      <c r="O24" s="207">
        <f t="shared" si="0"/>
        <v>97.111111111111114</v>
      </c>
      <c r="P24" s="207">
        <f t="shared" si="0"/>
        <v>77.688888888888883</v>
      </c>
      <c r="Q24" s="207">
        <f t="shared" si="0"/>
        <v>60.694444444444443</v>
      </c>
      <c r="R24" s="207">
        <f t="shared" si="0"/>
        <v>48.555555555555557</v>
      </c>
      <c r="S24" s="207">
        <f t="shared" si="0"/>
        <v>38.844444444444441</v>
      </c>
      <c r="T24" s="207">
        <f t="shared" si="0"/>
        <v>30.828924162257497</v>
      </c>
    </row>
    <row r="25" spans="3:20">
      <c r="C25" s="214">
        <v>120</v>
      </c>
      <c r="D25" s="207"/>
      <c r="E25" s="207"/>
      <c r="F25" s="207"/>
      <c r="G25" s="207"/>
      <c r="H25" s="207">
        <f t="shared" si="0"/>
        <v>613.33333333333337</v>
      </c>
      <c r="I25" s="207">
        <f t="shared" si="0"/>
        <v>490.66666666666669</v>
      </c>
      <c r="J25" s="207">
        <f t="shared" si="0"/>
        <v>389.41798941798942</v>
      </c>
      <c r="K25" s="207">
        <f t="shared" si="0"/>
        <v>306.66666666666669</v>
      </c>
      <c r="L25" s="207">
        <f t="shared" si="0"/>
        <v>245.33333333333334</v>
      </c>
      <c r="M25" s="207">
        <f t="shared" si="0"/>
        <v>196.26666666666668</v>
      </c>
      <c r="N25" s="207">
        <f t="shared" si="0"/>
        <v>153.33333333333334</v>
      </c>
      <c r="O25" s="207">
        <f t="shared" si="0"/>
        <v>122.66666666666667</v>
      </c>
      <c r="P25" s="207">
        <f t="shared" si="0"/>
        <v>98.13333333333334</v>
      </c>
      <c r="Q25" s="207">
        <f t="shared" si="0"/>
        <v>76.666666666666671</v>
      </c>
      <c r="R25" s="207">
        <f t="shared" si="0"/>
        <v>61.333333333333336</v>
      </c>
      <c r="S25" s="207">
        <f t="shared" si="0"/>
        <v>49.06666666666667</v>
      </c>
      <c r="T25" s="207">
        <f t="shared" si="0"/>
        <v>38.941798941798943</v>
      </c>
    </row>
    <row r="26" spans="3:20">
      <c r="C26" s="214">
        <v>150</v>
      </c>
      <c r="D26" s="207"/>
      <c r="E26" s="207"/>
      <c r="F26" s="207"/>
      <c r="G26" s="207"/>
      <c r="H26" s="207"/>
      <c r="I26" s="207">
        <f t="shared" si="0"/>
        <v>613.33333333333337</v>
      </c>
      <c r="J26" s="207">
        <f t="shared" si="0"/>
        <v>486.77248677248673</v>
      </c>
      <c r="K26" s="207">
        <f t="shared" si="0"/>
        <v>383.33333333333331</v>
      </c>
      <c r="L26" s="207">
        <f t="shared" si="0"/>
        <v>306.66666666666669</v>
      </c>
      <c r="M26" s="207">
        <f t="shared" si="0"/>
        <v>245.33333333333334</v>
      </c>
      <c r="N26" s="207">
        <f t="shared" si="0"/>
        <v>191.66666666666666</v>
      </c>
      <c r="O26" s="207">
        <f t="shared" si="0"/>
        <v>153.33333333333334</v>
      </c>
      <c r="P26" s="207">
        <f t="shared" si="0"/>
        <v>122.66666666666667</v>
      </c>
      <c r="Q26" s="207">
        <f t="shared" si="0"/>
        <v>95.833333333333329</v>
      </c>
      <c r="R26" s="207">
        <f t="shared" si="0"/>
        <v>76.666666666666671</v>
      </c>
      <c r="S26" s="207">
        <f t="shared" si="0"/>
        <v>61.333333333333336</v>
      </c>
      <c r="T26" s="207">
        <f t="shared" si="0"/>
        <v>48.677248677248677</v>
      </c>
    </row>
    <row r="27" spans="3:20">
      <c r="C27" s="214">
        <v>185</v>
      </c>
      <c r="D27" s="207"/>
      <c r="E27" s="207"/>
      <c r="F27" s="207"/>
      <c r="G27" s="207"/>
      <c r="H27" s="207"/>
      <c r="I27" s="207"/>
      <c r="J27" s="207">
        <f t="shared" si="0"/>
        <v>600.35273368606704</v>
      </c>
      <c r="K27" s="207">
        <f t="shared" si="0"/>
        <v>472.77777777777777</v>
      </c>
      <c r="L27" s="207">
        <f t="shared" si="0"/>
        <v>378.22222222222223</v>
      </c>
      <c r="M27" s="207">
        <f t="shared" si="0"/>
        <v>302.57777777777778</v>
      </c>
      <c r="N27" s="207">
        <f t="shared" si="0"/>
        <v>236.38888888888889</v>
      </c>
      <c r="O27" s="207">
        <f t="shared" si="0"/>
        <v>189.11111111111111</v>
      </c>
      <c r="P27" s="207">
        <f t="shared" si="0"/>
        <v>151.28888888888889</v>
      </c>
      <c r="Q27" s="207">
        <f t="shared" si="0"/>
        <v>118.19444444444444</v>
      </c>
      <c r="R27" s="207">
        <f t="shared" si="0"/>
        <v>94.555555555555557</v>
      </c>
      <c r="S27" s="207">
        <f t="shared" si="0"/>
        <v>75.644444444444446</v>
      </c>
      <c r="T27" s="207">
        <f t="shared" si="0"/>
        <v>60.035273368606703</v>
      </c>
    </row>
    <row r="28" spans="3:20">
      <c r="C28" s="214">
        <v>240</v>
      </c>
      <c r="D28" s="207"/>
      <c r="E28" s="207"/>
      <c r="F28" s="207"/>
      <c r="G28" s="207"/>
      <c r="H28" s="207"/>
      <c r="I28" s="207"/>
      <c r="J28" s="207"/>
      <c r="K28" s="207">
        <f t="shared" si="0"/>
        <v>613.33333333333337</v>
      </c>
      <c r="L28" s="207">
        <f t="shared" si="0"/>
        <v>490.66666666666669</v>
      </c>
      <c r="M28" s="207">
        <f t="shared" si="0"/>
        <v>392.53333333333336</v>
      </c>
      <c r="N28" s="207">
        <f t="shared" si="0"/>
        <v>306.66666666666669</v>
      </c>
      <c r="O28" s="207">
        <f t="shared" si="0"/>
        <v>245.33333333333334</v>
      </c>
      <c r="P28" s="207">
        <f t="shared" si="0"/>
        <v>196.26666666666668</v>
      </c>
      <c r="Q28" s="207">
        <f t="shared" si="0"/>
        <v>153.33333333333334</v>
      </c>
      <c r="R28" s="207">
        <f t="shared" si="0"/>
        <v>122.66666666666667</v>
      </c>
      <c r="S28" s="207">
        <f t="shared" si="0"/>
        <v>98.13333333333334</v>
      </c>
      <c r="T28" s="207">
        <f t="shared" si="0"/>
        <v>77.883597883597886</v>
      </c>
    </row>
    <row r="30" spans="3:20">
      <c r="L30" s="215"/>
    </row>
    <row r="31" spans="3:20">
      <c r="L31" s="216"/>
    </row>
  </sheetData>
  <pageMargins left="0.7" right="0.7" top="0.75" bottom="0.75" header="0.3" footer="0.3"/>
  <pageSetup paperSize="9" orientation="portrait" r:id="rId1"/>
  <legacyDrawing r:id="rId2"/>
  <oleObjects>
    <oleObject progId="Equation.3" shapeId="12289" r:id="rId3"/>
  </oleObjects>
</worksheet>
</file>

<file path=xl/worksheets/sheet14.xml><?xml version="1.0" encoding="utf-8"?>
<worksheet xmlns="http://schemas.openxmlformats.org/spreadsheetml/2006/main" xmlns:r="http://schemas.openxmlformats.org/officeDocument/2006/relationships">
  <dimension ref="C5:L11"/>
  <sheetViews>
    <sheetView workbookViewId="0">
      <selection activeCell="H16" sqref="H16"/>
    </sheetView>
  </sheetViews>
  <sheetFormatPr defaultRowHeight="15"/>
  <sheetData>
    <row r="5" spans="3:12">
      <c r="C5" s="47" t="s">
        <v>48</v>
      </c>
      <c r="D5" s="47" t="s">
        <v>58</v>
      </c>
      <c r="E5" s="47" t="s">
        <v>610</v>
      </c>
      <c r="F5" s="47" t="s">
        <v>613</v>
      </c>
      <c r="G5" s="47" t="s">
        <v>39</v>
      </c>
      <c r="H5" s="47" t="s">
        <v>40</v>
      </c>
      <c r="I5" s="47" t="s">
        <v>58</v>
      </c>
      <c r="K5" s="47" t="s">
        <v>614</v>
      </c>
      <c r="L5" s="47" t="s">
        <v>612</v>
      </c>
    </row>
    <row r="6" spans="3:12">
      <c r="C6">
        <v>4</v>
      </c>
      <c r="D6">
        <v>100</v>
      </c>
      <c r="E6" s="49">
        <v>0.8</v>
      </c>
      <c r="G6">
        <f>D6*E6</f>
        <v>80</v>
      </c>
      <c r="H6">
        <f>G6*TAN(ACOS(E6))</f>
        <v>59.999999999999986</v>
      </c>
    </row>
    <row r="7" spans="3:12">
      <c r="C7">
        <v>5</v>
      </c>
      <c r="D7" s="61"/>
      <c r="E7">
        <v>0.85</v>
      </c>
      <c r="F7">
        <v>0.9</v>
      </c>
      <c r="G7">
        <f>45/F7</f>
        <v>50</v>
      </c>
      <c r="H7" s="61">
        <f t="shared" ref="H7:H9" si="0">G7*TAN(ACOS(E7))</f>
        <v>30.987216920155113</v>
      </c>
      <c r="I7" s="47"/>
      <c r="K7">
        <v>2</v>
      </c>
      <c r="L7">
        <v>0.45</v>
      </c>
    </row>
    <row r="8" spans="3:12">
      <c r="C8">
        <v>6</v>
      </c>
      <c r="D8" s="61"/>
      <c r="E8">
        <v>0.85</v>
      </c>
      <c r="F8">
        <v>0.9</v>
      </c>
      <c r="G8" s="61">
        <f>7.5/F8</f>
        <v>8.3333333333333339</v>
      </c>
      <c r="H8" s="61">
        <f t="shared" si="0"/>
        <v>5.1645361533591858</v>
      </c>
      <c r="I8" s="47"/>
      <c r="K8">
        <v>5</v>
      </c>
      <c r="L8">
        <v>0.45</v>
      </c>
    </row>
    <row r="9" spans="3:12">
      <c r="C9" s="217" t="s">
        <v>611</v>
      </c>
      <c r="D9">
        <v>200</v>
      </c>
      <c r="E9">
        <v>0.95</v>
      </c>
      <c r="G9">
        <f>D9*E9</f>
        <v>190</v>
      </c>
      <c r="H9" s="61">
        <f t="shared" si="0"/>
        <v>62.449979983984008</v>
      </c>
      <c r="I9" s="47"/>
    </row>
    <row r="11" spans="3:12">
      <c r="D11" s="61"/>
      <c r="E11" s="49"/>
      <c r="G11" s="61">
        <f>SUM(G6:G10)</f>
        <v>328.33333333333337</v>
      </c>
      <c r="H11" s="61">
        <f>SUM(H6:H10)</f>
        <v>158.60173305749828</v>
      </c>
      <c r="I11" s="218">
        <f>SQRT(G11^2+H11^2)</f>
        <v>364.63308613813382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7"/>
  <sheetViews>
    <sheetView workbookViewId="0">
      <selection activeCell="H19" sqref="H19"/>
    </sheetView>
  </sheetViews>
  <sheetFormatPr defaultRowHeight="15"/>
  <cols>
    <col min="2" max="2" width="36.85546875" bestFit="1" customWidth="1"/>
    <col min="3" max="3" width="13.42578125" customWidth="1"/>
    <col min="4" max="4" width="6.42578125" style="5" customWidth="1"/>
    <col min="5" max="5" width="11.85546875" customWidth="1"/>
  </cols>
  <sheetData>
    <row r="1" spans="1:12" ht="21">
      <c r="A1" s="234" t="s">
        <v>662</v>
      </c>
    </row>
    <row r="3" spans="1:12">
      <c r="C3" s="47" t="s">
        <v>616</v>
      </c>
    </row>
    <row r="4" spans="1:12">
      <c r="B4" s="47" t="s">
        <v>632</v>
      </c>
    </row>
    <row r="5" spans="1:12">
      <c r="B5" s="2" t="s">
        <v>617</v>
      </c>
      <c r="C5" s="2" t="s">
        <v>618</v>
      </c>
      <c r="D5" s="6" t="s">
        <v>23</v>
      </c>
      <c r="E5" s="222">
        <v>26400</v>
      </c>
      <c r="J5" s="47"/>
    </row>
    <row r="6" spans="1:12">
      <c r="B6" s="2"/>
      <c r="C6" s="2"/>
      <c r="D6" s="6"/>
      <c r="E6" s="2"/>
      <c r="H6" s="230" t="s">
        <v>654</v>
      </c>
      <c r="I6" s="230"/>
      <c r="J6" s="230"/>
      <c r="K6" s="230"/>
      <c r="L6" s="230"/>
    </row>
    <row r="7" spans="1:12">
      <c r="B7" s="2" t="s">
        <v>619</v>
      </c>
      <c r="C7" s="2"/>
      <c r="D7" s="6"/>
      <c r="E7" s="2"/>
      <c r="H7" s="231" t="s">
        <v>647</v>
      </c>
      <c r="I7" s="231" t="s">
        <v>648</v>
      </c>
      <c r="J7" s="231" t="s">
        <v>395</v>
      </c>
      <c r="K7" s="231" t="s">
        <v>649</v>
      </c>
      <c r="L7" s="231" t="s">
        <v>650</v>
      </c>
    </row>
    <row r="8" spans="1:12">
      <c r="B8" s="2" t="s">
        <v>620</v>
      </c>
      <c r="C8" s="2" t="s">
        <v>621</v>
      </c>
      <c r="D8" s="223" t="s">
        <v>622</v>
      </c>
      <c r="E8" s="2">
        <v>12</v>
      </c>
      <c r="H8" s="231">
        <v>0.1</v>
      </c>
      <c r="I8" s="231">
        <v>0.9</v>
      </c>
      <c r="J8" s="231">
        <v>72</v>
      </c>
      <c r="K8" s="231">
        <v>1</v>
      </c>
      <c r="L8" s="231" t="s">
        <v>3</v>
      </c>
    </row>
    <row r="9" spans="1:12">
      <c r="B9" s="2" t="s">
        <v>623</v>
      </c>
      <c r="C9" s="2" t="s">
        <v>624</v>
      </c>
      <c r="D9" s="223" t="s">
        <v>622</v>
      </c>
      <c r="E9" s="2">
        <v>22.4</v>
      </c>
      <c r="H9" s="231">
        <v>0.90000009999999997</v>
      </c>
      <c r="I9" s="231">
        <v>3</v>
      </c>
      <c r="J9" s="231">
        <v>78.5</v>
      </c>
      <c r="K9" s="231">
        <v>0.18</v>
      </c>
      <c r="L9" s="231" t="s">
        <v>3</v>
      </c>
    </row>
    <row r="10" spans="1:12">
      <c r="B10" s="2"/>
      <c r="C10" s="2"/>
      <c r="D10" s="6"/>
      <c r="E10" s="2"/>
      <c r="H10" s="231">
        <f>3.0000001</f>
        <v>3.0000000999999998</v>
      </c>
      <c r="I10" s="231">
        <v>5</v>
      </c>
      <c r="J10" s="231" t="s">
        <v>3</v>
      </c>
      <c r="K10" s="231" t="s">
        <v>3</v>
      </c>
      <c r="L10" s="231">
        <v>640</v>
      </c>
    </row>
    <row r="11" spans="1:12">
      <c r="B11" s="2" t="s">
        <v>625</v>
      </c>
      <c r="C11" s="2" t="s">
        <v>594</v>
      </c>
      <c r="D11" s="6" t="s">
        <v>287</v>
      </c>
      <c r="E11" s="2">
        <v>1</v>
      </c>
      <c r="H11" s="231">
        <v>5.0000000099999999</v>
      </c>
      <c r="I11" s="231"/>
      <c r="J11" s="231" t="s">
        <v>3</v>
      </c>
      <c r="K11" s="231" t="s">
        <v>3</v>
      </c>
      <c r="L11" s="231">
        <v>500</v>
      </c>
    </row>
    <row r="12" spans="1:12">
      <c r="B12" s="2" t="s">
        <v>626</v>
      </c>
      <c r="C12" s="224" t="s">
        <v>627</v>
      </c>
      <c r="D12" s="223" t="s">
        <v>628</v>
      </c>
      <c r="E12" s="2">
        <v>200</v>
      </c>
    </row>
    <row r="13" spans="1:12" s="47" customFormat="1">
      <c r="B13" s="2" t="s">
        <v>652</v>
      </c>
      <c r="C13" s="224" t="s">
        <v>653</v>
      </c>
      <c r="D13" s="223" t="s">
        <v>628</v>
      </c>
      <c r="E13" s="222">
        <v>3000</v>
      </c>
    </row>
    <row r="14" spans="1:12">
      <c r="B14" s="2" t="s">
        <v>629</v>
      </c>
      <c r="C14" s="2" t="s">
        <v>661</v>
      </c>
      <c r="D14" s="6" t="s">
        <v>23</v>
      </c>
      <c r="E14" s="222">
        <v>10000</v>
      </c>
    </row>
    <row r="17" spans="2:5">
      <c r="B17" s="2" t="s">
        <v>633</v>
      </c>
    </row>
    <row r="18" spans="2:5">
      <c r="B18" s="47" t="s">
        <v>630</v>
      </c>
      <c r="D18" s="5" t="s">
        <v>3</v>
      </c>
      <c r="E18" s="1" t="s">
        <v>631</v>
      </c>
    </row>
    <row r="19" spans="2:5">
      <c r="B19" s="47" t="s">
        <v>630</v>
      </c>
      <c r="C19" s="47" t="s">
        <v>634</v>
      </c>
      <c r="D19" s="5" t="s">
        <v>3</v>
      </c>
      <c r="E19" s="225">
        <v>7.5999999999999998E-2</v>
      </c>
    </row>
    <row r="20" spans="2:5">
      <c r="B20" s="47" t="s">
        <v>630</v>
      </c>
      <c r="C20" s="47" t="s">
        <v>635</v>
      </c>
      <c r="D20" s="5" t="s">
        <v>3</v>
      </c>
      <c r="E20">
        <v>1.6500000000000001E-2</v>
      </c>
    </row>
    <row r="21" spans="2:5">
      <c r="B21" s="47" t="s">
        <v>630</v>
      </c>
      <c r="C21" s="47" t="s">
        <v>636</v>
      </c>
      <c r="D21" s="5" t="s">
        <v>3</v>
      </c>
      <c r="E21">
        <v>3.6200000000000003E-2</v>
      </c>
    </row>
    <row r="22" spans="2:5">
      <c r="B22" s="47" t="s">
        <v>651</v>
      </c>
      <c r="C22" s="47" t="s">
        <v>395</v>
      </c>
      <c r="D22" s="5" t="s">
        <v>3</v>
      </c>
      <c r="E22">
        <f>VLOOKUP(E11,$H$8:$L$11,3,TRUE)</f>
        <v>78.5</v>
      </c>
    </row>
    <row r="23" spans="2:5">
      <c r="B23" s="47" t="s">
        <v>651</v>
      </c>
      <c r="C23" s="47" t="s">
        <v>649</v>
      </c>
      <c r="D23" s="5" t="s">
        <v>3</v>
      </c>
      <c r="E23" s="47">
        <f>VLOOKUP(E11,$H$8:$L$11,4,TRUE)</f>
        <v>0.18</v>
      </c>
    </row>
    <row r="24" spans="2:5">
      <c r="B24" s="47" t="s">
        <v>637</v>
      </c>
      <c r="C24" s="47" t="s">
        <v>638</v>
      </c>
      <c r="D24" s="228" t="s">
        <v>622</v>
      </c>
      <c r="E24">
        <f>E19*E12</f>
        <v>15.2</v>
      </c>
    </row>
    <row r="25" spans="2:5">
      <c r="B25" s="47" t="s">
        <v>639</v>
      </c>
      <c r="C25" s="47" t="s">
        <v>640</v>
      </c>
      <c r="D25" s="5" t="s">
        <v>86</v>
      </c>
      <c r="E25" s="61">
        <f>E5/(SQRT(3)*SQRT((E8+E24)^2+E9^2))</f>
        <v>432.56606670178797</v>
      </c>
    </row>
    <row r="26" spans="2:5">
      <c r="B26" s="47" t="s">
        <v>641</v>
      </c>
      <c r="C26" s="47" t="s">
        <v>642</v>
      </c>
      <c r="D26" s="5" t="s">
        <v>23</v>
      </c>
      <c r="E26" s="227">
        <f>E24*E25</f>
        <v>6575.004213867177</v>
      </c>
    </row>
    <row r="27" spans="2:5">
      <c r="B27" s="230" t="s">
        <v>643</v>
      </c>
      <c r="C27" s="230" t="s">
        <v>645</v>
      </c>
      <c r="D27" s="231" t="s">
        <v>23</v>
      </c>
      <c r="E27" s="226">
        <f>E20*E12*E25</f>
        <v>1427.4680201159003</v>
      </c>
    </row>
    <row r="28" spans="2:5">
      <c r="B28" s="230" t="s">
        <v>644</v>
      </c>
      <c r="C28" s="230" t="s">
        <v>646</v>
      </c>
      <c r="D28" s="231" t="s">
        <v>23</v>
      </c>
      <c r="E28" s="226">
        <f>IF($E$11&lt;$H$10,10*$E$22/($E$11^$E$23)*(1+6*$E$12/1000),IF($E$11&lt;$H$11,$L$10*(1+6*$E$12/1000),$L$11*(1+6*$E$12/1000)))</f>
        <v>1727.0000000000002</v>
      </c>
    </row>
    <row r="29" spans="2:5">
      <c r="B29" s="47" t="s">
        <v>668</v>
      </c>
      <c r="C29" s="47" t="s">
        <v>655</v>
      </c>
      <c r="D29" s="5" t="s">
        <v>23</v>
      </c>
      <c r="E29" s="227">
        <f>E21*E12*E25</f>
        <v>3131.7783229209449</v>
      </c>
    </row>
    <row r="30" spans="2:5">
      <c r="B30" s="47" t="s">
        <v>669</v>
      </c>
      <c r="C30" s="47" t="s">
        <v>656</v>
      </c>
      <c r="D30" s="5" t="s">
        <v>23</v>
      </c>
      <c r="E30" s="227">
        <f>IF($E$11&lt;$H$10,10*$E$22/($E$11^$E$23)*(1+(3*$E$12+3*$E$13)/1000),IF($E$11&lt;$H$11,$L$10*(1+(3*$E$12+3*$E$13)/1000),$L$11*(1+(3*$E$12+3*$E$13)/1000)))</f>
        <v>8321</v>
      </c>
    </row>
    <row r="33" spans="2:5">
      <c r="B33" s="232" t="s">
        <v>657</v>
      </c>
      <c r="C33" s="232"/>
      <c r="D33" s="233"/>
      <c r="E33" s="232"/>
    </row>
    <row r="34" spans="2:5">
      <c r="B34" s="229" t="s">
        <v>666</v>
      </c>
      <c r="C34" s="232"/>
      <c r="D34" s="233" t="s">
        <v>3</v>
      </c>
      <c r="E34" s="233" t="str">
        <f>IF(E24&lt;=20,"OK","!!!!!!")</f>
        <v>OK</v>
      </c>
    </row>
    <row r="35" spans="2:5">
      <c r="B35" s="232" t="s">
        <v>658</v>
      </c>
      <c r="C35" s="232"/>
      <c r="D35" s="233" t="s">
        <v>3</v>
      </c>
      <c r="E35" s="233" t="str">
        <f>IF(E27&lt;E28,"OK","!!!!!!")</f>
        <v>OK</v>
      </c>
    </row>
    <row r="36" spans="2:5">
      <c r="B36" s="232" t="s">
        <v>659</v>
      </c>
      <c r="C36" s="232"/>
      <c r="D36" s="233" t="s">
        <v>3</v>
      </c>
      <c r="E36" s="233" t="str">
        <f>IF(E29&lt;E30,"OK","!!!!!!")</f>
        <v>OK</v>
      </c>
    </row>
    <row r="37" spans="2:5">
      <c r="B37" s="232" t="s">
        <v>660</v>
      </c>
      <c r="C37" s="232"/>
      <c r="D37" s="233" t="s">
        <v>3</v>
      </c>
      <c r="E37" s="233" t="str">
        <f>IF(E26&lt;E14,"OK","!!!!!!")</f>
        <v>OK</v>
      </c>
    </row>
  </sheetData>
  <conditionalFormatting sqref="E35:E37">
    <cfRule type="cellIs" dxfId="5" priority="2" operator="equal">
      <formula>"!!!!!!"</formula>
    </cfRule>
  </conditionalFormatting>
  <conditionalFormatting sqref="E34">
    <cfRule type="cellIs" dxfId="4" priority="1" operator="equal">
      <formula>"!!!!!!"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37"/>
  <sheetViews>
    <sheetView workbookViewId="0">
      <selection activeCell="H33" sqref="H33"/>
    </sheetView>
  </sheetViews>
  <sheetFormatPr defaultRowHeight="15"/>
  <cols>
    <col min="1" max="1" width="9.140625" style="47"/>
    <col min="2" max="2" width="39.7109375" style="47" customWidth="1"/>
    <col min="3" max="3" width="13.42578125" style="47" customWidth="1"/>
    <col min="4" max="4" width="6.42578125" style="5" customWidth="1"/>
    <col min="5" max="5" width="11.85546875" style="47" customWidth="1"/>
    <col min="6" max="16384" width="9.140625" style="47"/>
  </cols>
  <sheetData>
    <row r="1" spans="1:12" ht="21">
      <c r="A1" s="234" t="s">
        <v>662</v>
      </c>
    </row>
    <row r="3" spans="1:12">
      <c r="C3" s="47" t="s">
        <v>663</v>
      </c>
    </row>
    <row r="4" spans="1:12">
      <c r="B4" s="47" t="s">
        <v>632</v>
      </c>
    </row>
    <row r="5" spans="1:12">
      <c r="B5" s="2" t="s">
        <v>617</v>
      </c>
      <c r="C5" s="2" t="s">
        <v>618</v>
      </c>
      <c r="D5" s="6" t="s">
        <v>23</v>
      </c>
      <c r="E5" s="222">
        <v>20000</v>
      </c>
    </row>
    <row r="6" spans="1:12">
      <c r="B6" s="2"/>
      <c r="C6" s="2"/>
      <c r="D6" s="6"/>
      <c r="E6" s="2"/>
      <c r="H6" s="230" t="s">
        <v>654</v>
      </c>
      <c r="I6" s="230"/>
      <c r="J6" s="230"/>
      <c r="K6" s="230"/>
      <c r="L6" s="230"/>
    </row>
    <row r="7" spans="1:12">
      <c r="B7" s="2" t="s">
        <v>619</v>
      </c>
      <c r="C7" s="2"/>
      <c r="D7" s="6"/>
      <c r="E7" s="2"/>
      <c r="H7" s="231" t="s">
        <v>647</v>
      </c>
      <c r="I7" s="231" t="s">
        <v>648</v>
      </c>
      <c r="J7" s="231" t="s">
        <v>395</v>
      </c>
      <c r="K7" s="231" t="s">
        <v>649</v>
      </c>
      <c r="L7" s="231" t="s">
        <v>650</v>
      </c>
    </row>
    <row r="8" spans="1:12">
      <c r="B8" s="2" t="s">
        <v>620</v>
      </c>
      <c r="C8" s="2" t="s">
        <v>621</v>
      </c>
      <c r="D8" s="223" t="s">
        <v>622</v>
      </c>
      <c r="E8" s="2">
        <v>0</v>
      </c>
      <c r="H8" s="231">
        <v>0.1</v>
      </c>
      <c r="I8" s="231">
        <v>0.9</v>
      </c>
      <c r="J8" s="231">
        <v>72</v>
      </c>
      <c r="K8" s="231">
        <v>1</v>
      </c>
      <c r="L8" s="231" t="s">
        <v>3</v>
      </c>
    </row>
    <row r="9" spans="1:12">
      <c r="B9" s="26" t="s">
        <v>623</v>
      </c>
      <c r="C9" s="26" t="s">
        <v>624</v>
      </c>
      <c r="D9" s="228" t="s">
        <v>622</v>
      </c>
      <c r="E9" s="235">
        <f>E5/(SQRT(3)*E10)</f>
        <v>23.094010767585033</v>
      </c>
      <c r="H9" s="231">
        <v>0.90000009999999997</v>
      </c>
      <c r="I9" s="231">
        <v>3</v>
      </c>
      <c r="J9" s="231">
        <v>78.5</v>
      </c>
      <c r="K9" s="231">
        <v>0.18</v>
      </c>
      <c r="L9" s="231" t="s">
        <v>3</v>
      </c>
    </row>
    <row r="10" spans="1:12">
      <c r="B10" s="2" t="s">
        <v>664</v>
      </c>
      <c r="C10" s="2" t="s">
        <v>665</v>
      </c>
      <c r="D10" s="6" t="s">
        <v>86</v>
      </c>
      <c r="E10" s="2">
        <v>500</v>
      </c>
      <c r="H10" s="231">
        <f>3.0000001</f>
        <v>3.0000000999999998</v>
      </c>
      <c r="I10" s="231">
        <v>5</v>
      </c>
      <c r="J10" s="231" t="s">
        <v>3</v>
      </c>
      <c r="K10" s="231" t="s">
        <v>3</v>
      </c>
      <c r="L10" s="231">
        <v>640</v>
      </c>
    </row>
    <row r="11" spans="1:12">
      <c r="H11" s="231">
        <v>5.0000000099999999</v>
      </c>
      <c r="I11" s="231"/>
      <c r="J11" s="231" t="s">
        <v>3</v>
      </c>
      <c r="K11" s="231" t="s">
        <v>3</v>
      </c>
      <c r="L11" s="231">
        <v>500</v>
      </c>
    </row>
    <row r="12" spans="1:12">
      <c r="B12" s="2" t="s">
        <v>625</v>
      </c>
      <c r="C12" s="2" t="s">
        <v>594</v>
      </c>
      <c r="D12" s="6" t="s">
        <v>287</v>
      </c>
      <c r="E12" s="2">
        <v>1</v>
      </c>
    </row>
    <row r="13" spans="1:12">
      <c r="B13" s="2" t="s">
        <v>626</v>
      </c>
      <c r="C13" s="224" t="s">
        <v>627</v>
      </c>
      <c r="D13" s="223" t="s">
        <v>628</v>
      </c>
      <c r="E13" s="2">
        <v>300</v>
      </c>
    </row>
    <row r="14" spans="1:12">
      <c r="B14" s="2" t="s">
        <v>652</v>
      </c>
      <c r="C14" s="224" t="s">
        <v>653</v>
      </c>
      <c r="D14" s="223" t="s">
        <v>628</v>
      </c>
      <c r="E14" s="222">
        <v>3000</v>
      </c>
    </row>
    <row r="15" spans="1:12">
      <c r="B15" s="2" t="s">
        <v>629</v>
      </c>
      <c r="C15" s="2" t="s">
        <v>661</v>
      </c>
      <c r="D15" s="6" t="s">
        <v>23</v>
      </c>
      <c r="E15" s="222">
        <v>10000</v>
      </c>
    </row>
    <row r="18" spans="2:5">
      <c r="B18" s="2" t="s">
        <v>633</v>
      </c>
    </row>
    <row r="19" spans="2:5">
      <c r="B19" s="9" t="s">
        <v>630</v>
      </c>
      <c r="C19" s="9"/>
      <c r="D19" s="28" t="s">
        <v>3</v>
      </c>
      <c r="E19" s="246" t="s">
        <v>667</v>
      </c>
    </row>
    <row r="20" spans="2:5">
      <c r="B20" s="9" t="s">
        <v>630</v>
      </c>
      <c r="C20" s="9" t="s">
        <v>634</v>
      </c>
      <c r="D20" s="28" t="s">
        <v>3</v>
      </c>
      <c r="E20" s="240">
        <v>5.5800000000000002E-2</v>
      </c>
    </row>
    <row r="21" spans="2:5">
      <c r="B21" s="9" t="s">
        <v>630</v>
      </c>
      <c r="C21" s="9" t="s">
        <v>635</v>
      </c>
      <c r="D21" s="28" t="s">
        <v>3</v>
      </c>
      <c r="E21" s="9">
        <v>6.3299999999999997E-3</v>
      </c>
    </row>
    <row r="22" spans="2:5">
      <c r="B22" s="9" t="s">
        <v>630</v>
      </c>
      <c r="C22" s="9" t="s">
        <v>636</v>
      </c>
      <c r="D22" s="28" t="s">
        <v>3</v>
      </c>
      <c r="E22" s="239" t="s">
        <v>3</v>
      </c>
    </row>
    <row r="23" spans="2:5">
      <c r="B23" s="9" t="s">
        <v>651</v>
      </c>
      <c r="C23" s="9" t="s">
        <v>395</v>
      </c>
      <c r="D23" s="28" t="s">
        <v>3</v>
      </c>
      <c r="E23" s="9">
        <f>VLOOKUP(E12,$H$8:$L$11,3,TRUE)</f>
        <v>78.5</v>
      </c>
    </row>
    <row r="24" spans="2:5">
      <c r="B24" s="9" t="s">
        <v>651</v>
      </c>
      <c r="C24" s="9" t="s">
        <v>649</v>
      </c>
      <c r="D24" s="28" t="s">
        <v>3</v>
      </c>
      <c r="E24" s="9">
        <f>VLOOKUP(E12,$H$8:$L$11,4,TRUE)</f>
        <v>0.18</v>
      </c>
    </row>
    <row r="25" spans="2:5">
      <c r="B25" s="9" t="s">
        <v>637</v>
      </c>
      <c r="C25" s="9" t="s">
        <v>638</v>
      </c>
      <c r="D25" s="241" t="s">
        <v>622</v>
      </c>
      <c r="E25" s="15">
        <f>E20*E13</f>
        <v>16.740000000000002</v>
      </c>
    </row>
    <row r="26" spans="2:5">
      <c r="B26" s="9" t="s">
        <v>639</v>
      </c>
      <c r="C26" s="9" t="s">
        <v>640</v>
      </c>
      <c r="D26" s="28" t="s">
        <v>86</v>
      </c>
      <c r="E26" s="15">
        <f>E5/(SQRT(3)*SQRT((E8+E25)^2+E9^2))</f>
        <v>404.83152582090537</v>
      </c>
    </row>
    <row r="27" spans="2:5">
      <c r="B27" s="9" t="s">
        <v>641</v>
      </c>
      <c r="C27" s="9" t="s">
        <v>642</v>
      </c>
      <c r="D27" s="28" t="s">
        <v>23</v>
      </c>
      <c r="E27" s="242">
        <f>E25*E26</f>
        <v>6776.8797422419566</v>
      </c>
    </row>
    <row r="28" spans="2:5">
      <c r="B28" s="143" t="s">
        <v>643</v>
      </c>
      <c r="C28" s="143" t="s">
        <v>645</v>
      </c>
      <c r="D28" s="145" t="s">
        <v>23</v>
      </c>
      <c r="E28" s="188">
        <f>E21*E13*E26</f>
        <v>768.77506753389923</v>
      </c>
    </row>
    <row r="29" spans="2:5">
      <c r="B29" s="143" t="s">
        <v>644</v>
      </c>
      <c r="C29" s="143" t="s">
        <v>646</v>
      </c>
      <c r="D29" s="145" t="s">
        <v>23</v>
      </c>
      <c r="E29" s="188">
        <f>IF($E$12&lt;$H$10,10*$E$23/($E$12^$E$24)*(1+6*$E$13/1000),IF($E$12&lt;$H$11,$L$10*(1+6*$E$13/1000),$L$11*(1+6*$E$13/1000)))</f>
        <v>2198</v>
      </c>
    </row>
    <row r="30" spans="2:5">
      <c r="B30" s="9" t="s">
        <v>668</v>
      </c>
      <c r="C30" s="9" t="s">
        <v>655</v>
      </c>
      <c r="D30" s="28" t="s">
        <v>23</v>
      </c>
      <c r="E30" s="242">
        <f>E27</f>
        <v>6776.8797422419566</v>
      </c>
    </row>
    <row r="31" spans="2:5">
      <c r="B31" s="9" t="s">
        <v>669</v>
      </c>
      <c r="C31" s="9" t="s">
        <v>656</v>
      </c>
      <c r="D31" s="28" t="s">
        <v>23</v>
      </c>
      <c r="E31" s="242">
        <f>IF($E$12&lt;$H$10,10*$E$23/($E$12^$E$24)*(1+(3*$E$13+3*$E$14)/1000),IF($E$12&lt;$H$11,$L$10*(1+(3*$E$13+3*$E$14)/1000),$L$11*(1+(3*$E$13+3*$E$14)/1000)))</f>
        <v>8556.5</v>
      </c>
    </row>
    <row r="33" spans="2:5">
      <c r="B33" s="236" t="s">
        <v>657</v>
      </c>
      <c r="C33" s="237"/>
      <c r="D33" s="238"/>
      <c r="E33" s="237"/>
    </row>
    <row r="34" spans="2:5">
      <c r="B34" s="243" t="s">
        <v>666</v>
      </c>
      <c r="C34" s="244"/>
      <c r="D34" s="245" t="s">
        <v>3</v>
      </c>
      <c r="E34" s="245" t="str">
        <f>IF(E25&lt;=20,"OK","!!!!!!")</f>
        <v>OK</v>
      </c>
    </row>
    <row r="35" spans="2:5">
      <c r="B35" s="244" t="s">
        <v>658</v>
      </c>
      <c r="C35" s="244"/>
      <c r="D35" s="245" t="s">
        <v>3</v>
      </c>
      <c r="E35" s="245" t="str">
        <f>IF(E28&lt;E29,"OK","!!!!!!")</f>
        <v>OK</v>
      </c>
    </row>
    <row r="36" spans="2:5">
      <c r="B36" s="244" t="s">
        <v>659</v>
      </c>
      <c r="C36" s="244"/>
      <c r="D36" s="245" t="s">
        <v>3</v>
      </c>
      <c r="E36" s="245" t="str">
        <f>IF(E30&lt;E31,"OK","!!!!!!")</f>
        <v>OK</v>
      </c>
    </row>
    <row r="37" spans="2:5">
      <c r="B37" s="244" t="s">
        <v>660</v>
      </c>
      <c r="C37" s="244"/>
      <c r="D37" s="245" t="s">
        <v>3</v>
      </c>
      <c r="E37" s="245" t="str">
        <f>IF(E27&lt;E15,"OK","!!!!!!")</f>
        <v>OK</v>
      </c>
    </row>
  </sheetData>
  <conditionalFormatting sqref="E35:E37">
    <cfRule type="cellIs" dxfId="3" priority="2" operator="equal">
      <formula>"!!!!!!"</formula>
    </cfRule>
  </conditionalFormatting>
  <conditionalFormatting sqref="E34">
    <cfRule type="cellIs" dxfId="2" priority="1" operator="equal">
      <formula>"!!!!!!"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36"/>
  <sheetViews>
    <sheetView workbookViewId="0">
      <selection activeCell="C4" sqref="C4"/>
    </sheetView>
  </sheetViews>
  <sheetFormatPr defaultRowHeight="15"/>
  <cols>
    <col min="1" max="1" width="9.140625" style="47"/>
    <col min="2" max="2" width="36.85546875" style="47" bestFit="1" customWidth="1"/>
    <col min="3" max="3" width="13.42578125" style="47" customWidth="1"/>
    <col min="4" max="4" width="6.42578125" style="5" customWidth="1"/>
    <col min="5" max="5" width="11.85546875" style="47" customWidth="1"/>
    <col min="6" max="16384" width="9.140625" style="47"/>
  </cols>
  <sheetData>
    <row r="1" spans="1:12" ht="21">
      <c r="A1" s="234" t="s">
        <v>662</v>
      </c>
    </row>
    <row r="3" spans="1:12">
      <c r="C3" s="47" t="s">
        <v>671</v>
      </c>
    </row>
    <row r="4" spans="1:12">
      <c r="B4" s="47" t="s">
        <v>632</v>
      </c>
    </row>
    <row r="5" spans="1:12">
      <c r="B5" s="2" t="s">
        <v>617</v>
      </c>
      <c r="C5" s="2" t="s">
        <v>618</v>
      </c>
      <c r="D5" s="6" t="s">
        <v>23</v>
      </c>
      <c r="E5" s="222">
        <v>20000</v>
      </c>
    </row>
    <row r="6" spans="1:12">
      <c r="B6" s="2"/>
      <c r="C6" s="2"/>
      <c r="D6" s="6"/>
      <c r="E6" s="2"/>
      <c r="H6" s="230" t="s">
        <v>654</v>
      </c>
      <c r="I6" s="230"/>
      <c r="J6" s="230"/>
      <c r="K6" s="230"/>
      <c r="L6" s="230"/>
    </row>
    <row r="7" spans="1:12">
      <c r="B7" s="2" t="s">
        <v>619</v>
      </c>
      <c r="C7" s="2"/>
      <c r="D7" s="6"/>
      <c r="E7" s="2"/>
      <c r="H7" s="231" t="s">
        <v>647</v>
      </c>
      <c r="I7" s="231" t="s">
        <v>648</v>
      </c>
      <c r="J7" s="231" t="s">
        <v>395</v>
      </c>
      <c r="K7" s="231" t="s">
        <v>649</v>
      </c>
      <c r="L7" s="231" t="s">
        <v>650</v>
      </c>
    </row>
    <row r="8" spans="1:12">
      <c r="B8" s="2" t="s">
        <v>620</v>
      </c>
      <c r="C8" s="2" t="s">
        <v>621</v>
      </c>
      <c r="D8" s="223" t="s">
        <v>622</v>
      </c>
      <c r="E8" s="2">
        <v>11.5</v>
      </c>
      <c r="H8" s="231">
        <v>0.1</v>
      </c>
      <c r="I8" s="231">
        <v>0.9</v>
      </c>
      <c r="J8" s="231">
        <v>72</v>
      </c>
      <c r="K8" s="231">
        <v>1</v>
      </c>
      <c r="L8" s="231" t="s">
        <v>3</v>
      </c>
    </row>
    <row r="9" spans="1:12">
      <c r="B9" s="2" t="s">
        <v>623</v>
      </c>
      <c r="C9" s="2" t="s">
        <v>624</v>
      </c>
      <c r="D9" s="223" t="s">
        <v>622</v>
      </c>
      <c r="E9" s="2">
        <v>20</v>
      </c>
      <c r="H9" s="231">
        <v>0.90000009999999997</v>
      </c>
      <c r="I9" s="231">
        <v>3</v>
      </c>
      <c r="J9" s="231">
        <v>78.5</v>
      </c>
      <c r="K9" s="231">
        <v>0.18</v>
      </c>
      <c r="L9" s="231" t="s">
        <v>3</v>
      </c>
    </row>
    <row r="10" spans="1:12">
      <c r="B10" s="2"/>
      <c r="C10" s="2"/>
      <c r="D10" s="6"/>
      <c r="E10" s="2"/>
      <c r="H10" s="231">
        <f>3.0000001</f>
        <v>3.0000000999999998</v>
      </c>
      <c r="I10" s="231">
        <v>5</v>
      </c>
      <c r="J10" s="231" t="s">
        <v>3</v>
      </c>
      <c r="K10" s="231" t="s">
        <v>3</v>
      </c>
      <c r="L10" s="231">
        <v>640</v>
      </c>
    </row>
    <row r="11" spans="1:12">
      <c r="B11" s="2" t="s">
        <v>625</v>
      </c>
      <c r="C11" s="2" t="s">
        <v>594</v>
      </c>
      <c r="D11" s="6" t="s">
        <v>287</v>
      </c>
      <c r="E11" s="2">
        <v>0.9</v>
      </c>
      <c r="H11" s="231">
        <v>5.0000000099999999</v>
      </c>
      <c r="I11" s="231"/>
      <c r="J11" s="231" t="s">
        <v>3</v>
      </c>
      <c r="K11" s="231" t="s">
        <v>3</v>
      </c>
      <c r="L11" s="231">
        <v>500</v>
      </c>
    </row>
    <row r="12" spans="1:12">
      <c r="B12" s="2" t="s">
        <v>626</v>
      </c>
      <c r="C12" s="224" t="s">
        <v>627</v>
      </c>
      <c r="D12" s="223" t="s">
        <v>628</v>
      </c>
      <c r="E12" s="2">
        <v>400</v>
      </c>
    </row>
    <row r="13" spans="1:12">
      <c r="B13" s="2" t="s">
        <v>652</v>
      </c>
      <c r="C13" s="224" t="s">
        <v>653</v>
      </c>
      <c r="D13" s="223" t="s">
        <v>628</v>
      </c>
      <c r="E13" s="222">
        <v>3000</v>
      </c>
    </row>
    <row r="14" spans="1:12">
      <c r="B14" s="2" t="s">
        <v>629</v>
      </c>
      <c r="C14" s="2" t="s">
        <v>661</v>
      </c>
      <c r="D14" s="6" t="s">
        <v>23</v>
      </c>
      <c r="E14" s="222">
        <v>10000</v>
      </c>
    </row>
    <row r="17" spans="2:5">
      <c r="B17" s="2" t="s">
        <v>633</v>
      </c>
    </row>
    <row r="18" spans="2:5">
      <c r="B18" s="9" t="s">
        <v>630</v>
      </c>
      <c r="C18" s="9"/>
      <c r="D18" s="28" t="s">
        <v>3</v>
      </c>
      <c r="E18" s="239" t="s">
        <v>670</v>
      </c>
    </row>
    <row r="19" spans="2:5">
      <c r="B19" s="9" t="s">
        <v>630</v>
      </c>
      <c r="C19" s="9" t="s">
        <v>634</v>
      </c>
      <c r="D19" s="28" t="s">
        <v>3</v>
      </c>
      <c r="E19" s="240">
        <v>4.3999999999999997E-2</v>
      </c>
    </row>
    <row r="20" spans="2:5">
      <c r="B20" s="9" t="s">
        <v>630</v>
      </c>
      <c r="C20" s="9" t="s">
        <v>635</v>
      </c>
      <c r="D20" s="28" t="s">
        <v>3</v>
      </c>
      <c r="E20" s="240">
        <v>6.1999999999999998E-3</v>
      </c>
    </row>
    <row r="21" spans="2:5">
      <c r="B21" s="9" t="s">
        <v>630</v>
      </c>
      <c r="C21" s="9" t="s">
        <v>636</v>
      </c>
      <c r="D21" s="28" t="s">
        <v>3</v>
      </c>
      <c r="E21" s="9">
        <v>1.3100000000000001E-2</v>
      </c>
    </row>
    <row r="22" spans="2:5">
      <c r="B22" s="9" t="s">
        <v>651</v>
      </c>
      <c r="C22" s="9" t="s">
        <v>395</v>
      </c>
      <c r="D22" s="28" t="s">
        <v>3</v>
      </c>
      <c r="E22" s="9">
        <f>VLOOKUP(E11,$H$8:$L$11,3,TRUE)</f>
        <v>72</v>
      </c>
    </row>
    <row r="23" spans="2:5">
      <c r="B23" s="9" t="s">
        <v>651</v>
      </c>
      <c r="C23" s="9" t="s">
        <v>649</v>
      </c>
      <c r="D23" s="28" t="s">
        <v>3</v>
      </c>
      <c r="E23" s="9">
        <f>VLOOKUP(E11,$H$8:$L$11,4,TRUE)</f>
        <v>1</v>
      </c>
    </row>
    <row r="24" spans="2:5">
      <c r="B24" s="9" t="s">
        <v>637</v>
      </c>
      <c r="C24" s="9" t="s">
        <v>638</v>
      </c>
      <c r="D24" s="241" t="s">
        <v>622</v>
      </c>
      <c r="E24" s="9">
        <f>E19*E12</f>
        <v>17.599999999999998</v>
      </c>
    </row>
    <row r="25" spans="2:5">
      <c r="B25" s="9" t="s">
        <v>639</v>
      </c>
      <c r="C25" s="9" t="s">
        <v>640</v>
      </c>
      <c r="D25" s="28" t="s">
        <v>86</v>
      </c>
      <c r="E25" s="15">
        <f>E5/(SQRT(3)*SQRT((E8+E24)^2+E9^2))</f>
        <v>327.01617156618937</v>
      </c>
    </row>
    <row r="26" spans="2:5">
      <c r="B26" s="9" t="s">
        <v>641</v>
      </c>
      <c r="C26" s="9" t="s">
        <v>642</v>
      </c>
      <c r="D26" s="28" t="s">
        <v>23</v>
      </c>
      <c r="E26" s="242">
        <f>E24*E25</f>
        <v>5755.4846195649325</v>
      </c>
    </row>
    <row r="27" spans="2:5">
      <c r="B27" s="143" t="s">
        <v>643</v>
      </c>
      <c r="C27" s="143" t="s">
        <v>645</v>
      </c>
      <c r="D27" s="145" t="s">
        <v>23</v>
      </c>
      <c r="E27" s="188">
        <f>E20*E12*E25</f>
        <v>811.00010548414969</v>
      </c>
    </row>
    <row r="28" spans="2:5">
      <c r="B28" s="143" t="s">
        <v>644</v>
      </c>
      <c r="C28" s="143" t="s">
        <v>646</v>
      </c>
      <c r="D28" s="145" t="s">
        <v>23</v>
      </c>
      <c r="E28" s="188">
        <f>IF($E$11&lt;$H$10,10*$E$22/($E$11^$E$23)*(1+6*$E$12/1000),IF($E$11&lt;$H$11,$L$10*(1+6*$E$12/1000),$L$11*(1+6*$E$12/1000)))</f>
        <v>2720</v>
      </c>
    </row>
    <row r="29" spans="2:5">
      <c r="B29" s="9" t="s">
        <v>668</v>
      </c>
      <c r="C29" s="9" t="s">
        <v>655</v>
      </c>
      <c r="D29" s="28" t="s">
        <v>23</v>
      </c>
      <c r="E29" s="242">
        <f>E21*E12*E25</f>
        <v>1713.5647390068323</v>
      </c>
    </row>
    <row r="30" spans="2:5">
      <c r="B30" s="9" t="s">
        <v>669</v>
      </c>
      <c r="C30" s="9" t="s">
        <v>656</v>
      </c>
      <c r="D30" s="28" t="s">
        <v>23</v>
      </c>
      <c r="E30" s="242">
        <f>IF($E$11&lt;$H$10,10*$E$22/($E$11^$E$23)*(1+(3*$E$12+3*$E$13)/1000),IF($E$11&lt;$H$11,$L$10*(1+(3*$E$12+3*$E$13)/1000),$L$11*(1+(3*$E$12+3*$E$13)/1000)))</f>
        <v>8960</v>
      </c>
    </row>
    <row r="32" spans="2:5">
      <c r="B32" s="232" t="s">
        <v>657</v>
      </c>
      <c r="C32" s="232"/>
      <c r="D32" s="233"/>
      <c r="E32" s="232"/>
    </row>
    <row r="33" spans="2:5">
      <c r="B33" s="243" t="s">
        <v>666</v>
      </c>
      <c r="C33" s="244"/>
      <c r="D33" s="245" t="s">
        <v>3</v>
      </c>
      <c r="E33" s="245" t="str">
        <f>IF(E24&lt;=20,"OK","!!!!!!")</f>
        <v>OK</v>
      </c>
    </row>
    <row r="34" spans="2:5">
      <c r="B34" s="244" t="s">
        <v>658</v>
      </c>
      <c r="C34" s="244"/>
      <c r="D34" s="245" t="s">
        <v>3</v>
      </c>
      <c r="E34" s="245" t="str">
        <f>IF(E27&lt;E28,"OK","!!!!!!")</f>
        <v>OK</v>
      </c>
    </row>
    <row r="35" spans="2:5">
      <c r="B35" s="244" t="s">
        <v>659</v>
      </c>
      <c r="C35" s="244"/>
      <c r="D35" s="245" t="s">
        <v>3</v>
      </c>
      <c r="E35" s="245" t="str">
        <f>IF(E29&lt;E30,"OK","!!!!!!")</f>
        <v>OK</v>
      </c>
    </row>
    <row r="36" spans="2:5">
      <c r="B36" s="244" t="s">
        <v>660</v>
      </c>
      <c r="C36" s="244"/>
      <c r="D36" s="245" t="s">
        <v>3</v>
      </c>
      <c r="E36" s="245" t="str">
        <f>IF(E26&lt;E14,"OK","!!!!!!")</f>
        <v>OK</v>
      </c>
    </row>
  </sheetData>
  <conditionalFormatting sqref="E34:E36">
    <cfRule type="cellIs" dxfId="1" priority="2" operator="equal">
      <formula>"!!!!!!"</formula>
    </cfRule>
  </conditionalFormatting>
  <conditionalFormatting sqref="E33">
    <cfRule type="cellIs" dxfId="0" priority="1" operator="equal">
      <formula>"!!!!!!"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8"/>
  <sheetViews>
    <sheetView tabSelected="1" topLeftCell="D1" workbookViewId="0">
      <selection activeCell="I4" sqref="I4"/>
    </sheetView>
  </sheetViews>
  <sheetFormatPr defaultRowHeight="15"/>
  <cols>
    <col min="1" max="1" width="9.140625" style="47"/>
    <col min="2" max="2" width="4" style="47" customWidth="1"/>
    <col min="3" max="3" width="59.28515625" style="47" customWidth="1"/>
    <col min="4" max="7" width="13.5703125" style="5" customWidth="1"/>
    <col min="8" max="8" width="14.7109375" style="47" bestFit="1" customWidth="1"/>
    <col min="9" max="9" width="18" style="47" customWidth="1"/>
    <col min="10" max="10" width="24.140625" style="47" bestFit="1" customWidth="1"/>
    <col min="11" max="11" width="10.85546875" style="5" customWidth="1"/>
    <col min="12" max="12" width="12.140625" style="5" bestFit="1" customWidth="1"/>
    <col min="13" max="13" width="13.5703125" style="5" customWidth="1"/>
    <col min="14" max="14" width="11.5703125" style="5" bestFit="1" customWidth="1"/>
    <col min="15" max="16384" width="9.140625" style="47"/>
  </cols>
  <sheetData>
    <row r="1" spans="1:12" ht="26.25">
      <c r="A1" s="248" t="s">
        <v>672</v>
      </c>
    </row>
    <row r="3" spans="1:12" s="5" customFormat="1">
      <c r="A3" s="47"/>
      <c r="B3" s="47"/>
      <c r="C3" s="47" t="s">
        <v>673</v>
      </c>
      <c r="H3" s="47"/>
      <c r="I3" s="47"/>
      <c r="J3" s="47" t="s">
        <v>998</v>
      </c>
    </row>
    <row r="4" spans="1:12" s="5" customFormat="1">
      <c r="A4" s="47"/>
      <c r="B4" s="47"/>
      <c r="C4" s="47" t="s">
        <v>674</v>
      </c>
      <c r="H4" s="47"/>
      <c r="I4" s="47"/>
      <c r="J4" s="47"/>
    </row>
    <row r="5" spans="1:12" s="5" customFormat="1">
      <c r="A5" s="47"/>
      <c r="B5" s="47"/>
      <c r="C5" s="47" t="s">
        <v>675</v>
      </c>
      <c r="H5" s="47"/>
      <c r="I5" s="47"/>
      <c r="J5" s="378" t="s">
        <v>999</v>
      </c>
      <c r="K5" s="379" t="s">
        <v>1000</v>
      </c>
      <c r="L5" s="380">
        <v>4</v>
      </c>
    </row>
    <row r="6" spans="1:12" s="5" customFormat="1">
      <c r="A6" s="47"/>
      <c r="B6" s="47"/>
      <c r="C6" s="47" t="s">
        <v>676</v>
      </c>
      <c r="H6" s="47"/>
      <c r="I6" s="47"/>
      <c r="J6" s="381" t="s">
        <v>1001</v>
      </c>
      <c r="K6" s="382" t="s">
        <v>75</v>
      </c>
      <c r="L6" s="383">
        <v>8</v>
      </c>
    </row>
    <row r="7" spans="1:12" s="5" customFormat="1" ht="15.75" thickBot="1">
      <c r="A7" s="47"/>
      <c r="B7" s="47"/>
      <c r="C7" s="47"/>
      <c r="H7" s="47"/>
      <c r="I7" s="47"/>
      <c r="J7" s="378" t="s">
        <v>1002</v>
      </c>
      <c r="K7" s="379" t="s">
        <v>1003</v>
      </c>
      <c r="L7" s="380">
        <v>10</v>
      </c>
    </row>
    <row r="8" spans="1:12" s="5" customFormat="1">
      <c r="A8" s="47"/>
      <c r="B8" s="47"/>
      <c r="C8" s="47"/>
      <c r="D8" s="249" t="s">
        <v>71</v>
      </c>
      <c r="E8" s="250" t="s">
        <v>73</v>
      </c>
      <c r="F8" s="250" t="s">
        <v>677</v>
      </c>
      <c r="G8" s="251" t="s">
        <v>326</v>
      </c>
      <c r="H8" s="47"/>
      <c r="I8" s="47"/>
      <c r="J8" s="384" t="s">
        <v>1004</v>
      </c>
      <c r="K8" s="267" t="s">
        <v>75</v>
      </c>
      <c r="L8" s="385">
        <v>0.5</v>
      </c>
    </row>
    <row r="9" spans="1:12" s="5" customFormat="1" ht="15.75" thickBot="1">
      <c r="A9" s="47"/>
      <c r="B9" s="47"/>
      <c r="C9" s="47"/>
      <c r="D9" s="252" t="s">
        <v>678</v>
      </c>
      <c r="E9" s="253" t="s">
        <v>679</v>
      </c>
      <c r="F9" s="253" t="s">
        <v>680</v>
      </c>
      <c r="G9" s="254" t="s">
        <v>622</v>
      </c>
      <c r="H9" s="47"/>
      <c r="I9" s="47"/>
      <c r="J9" s="384" t="s">
        <v>1005</v>
      </c>
      <c r="K9" s="267" t="s">
        <v>75</v>
      </c>
      <c r="L9" s="385">
        <v>1</v>
      </c>
    </row>
    <row r="10" spans="1:12" s="5" customFormat="1" ht="15.75" thickBot="1">
      <c r="A10" s="47"/>
      <c r="B10" s="47"/>
      <c r="C10" s="47"/>
      <c r="D10" s="255"/>
      <c r="G10" s="256"/>
      <c r="H10" s="47"/>
      <c r="I10" s="47"/>
      <c r="J10" s="381" t="s">
        <v>1006</v>
      </c>
      <c r="K10" s="382" t="s">
        <v>75</v>
      </c>
      <c r="L10" s="383">
        <f>(L8+L9)*2</f>
        <v>3</v>
      </c>
    </row>
    <row r="11" spans="1:12" s="5" customFormat="1">
      <c r="A11" s="47"/>
      <c r="B11" s="257" t="s">
        <v>673</v>
      </c>
      <c r="C11" s="258"/>
      <c r="D11" s="259"/>
      <c r="E11" s="259"/>
      <c r="F11" s="259"/>
      <c r="G11" s="260">
        <f>G12</f>
        <v>10.65</v>
      </c>
      <c r="H11" s="47"/>
      <c r="I11" s="47"/>
      <c r="J11" s="386" t="s">
        <v>1007</v>
      </c>
      <c r="K11" s="387" t="s">
        <v>75</v>
      </c>
      <c r="L11" s="284">
        <v>50</v>
      </c>
    </row>
    <row r="12" spans="1:12" s="5" customFormat="1" ht="15.75" thickBot="1">
      <c r="A12" s="47"/>
      <c r="B12" s="261"/>
      <c r="C12" s="262" t="s">
        <v>681</v>
      </c>
      <c r="D12" s="263" t="s">
        <v>682</v>
      </c>
      <c r="E12" s="263" t="s">
        <v>682</v>
      </c>
      <c r="F12" s="263" t="s">
        <v>682</v>
      </c>
      <c r="G12" s="264">
        <v>10.65</v>
      </c>
      <c r="H12" s="47"/>
      <c r="I12" s="47"/>
      <c r="J12" s="386" t="s">
        <v>1008</v>
      </c>
      <c r="K12" s="387" t="s">
        <v>1009</v>
      </c>
      <c r="L12" s="284">
        <v>1000</v>
      </c>
    </row>
    <row r="13" spans="1:12" s="5" customFormat="1">
      <c r="A13" s="47"/>
      <c r="B13" s="47"/>
      <c r="C13" s="47"/>
      <c r="G13" s="133"/>
      <c r="H13" s="47"/>
      <c r="I13" s="47"/>
    </row>
    <row r="14" spans="1:12" s="5" customFormat="1" ht="15.75" thickBot="1">
      <c r="A14" s="47"/>
      <c r="B14" s="47"/>
      <c r="C14" s="47"/>
      <c r="H14" s="47"/>
      <c r="I14" s="47"/>
      <c r="J14" s="47"/>
    </row>
    <row r="15" spans="1:12" s="5" customFormat="1">
      <c r="A15" s="47"/>
      <c r="B15" s="257" t="s">
        <v>674</v>
      </c>
      <c r="C15" s="258"/>
      <c r="D15" s="259"/>
      <c r="E15" s="259"/>
      <c r="F15" s="259"/>
      <c r="G15" s="260">
        <f>G16</f>
        <v>18</v>
      </c>
      <c r="H15" s="47"/>
      <c r="I15" s="47"/>
      <c r="J15" s="378" t="s">
        <v>1010</v>
      </c>
      <c r="K15" s="388" t="s">
        <v>622</v>
      </c>
      <c r="L15" s="389">
        <f>L12/(L5*L6)</f>
        <v>31.25</v>
      </c>
    </row>
    <row r="16" spans="1:12" s="5" customFormat="1" ht="15.75" thickBot="1">
      <c r="A16" s="47"/>
      <c r="B16" s="261"/>
      <c r="C16" s="262" t="s">
        <v>681</v>
      </c>
      <c r="D16" s="263" t="s">
        <v>682</v>
      </c>
      <c r="E16" s="263" t="s">
        <v>682</v>
      </c>
      <c r="F16" s="263" t="s">
        <v>682</v>
      </c>
      <c r="G16" s="264">
        <v>18</v>
      </c>
      <c r="H16" s="47"/>
      <c r="I16" s="47"/>
      <c r="J16" s="384" t="s">
        <v>1011</v>
      </c>
      <c r="K16" s="390" t="s">
        <v>622</v>
      </c>
      <c r="L16" s="391">
        <f>0.8*L12/(L7*L10)</f>
        <v>26.666666666666668</v>
      </c>
    </row>
    <row r="17" spans="1:13" s="5" customFormat="1">
      <c r="A17" s="47"/>
      <c r="B17" s="47"/>
      <c r="C17" s="265"/>
      <c r="G17" s="133"/>
      <c r="H17" s="47"/>
      <c r="I17" s="47"/>
      <c r="J17" s="384" t="s">
        <v>1012</v>
      </c>
      <c r="K17" s="390" t="s">
        <v>622</v>
      </c>
      <c r="L17" s="391">
        <f>2*L12/L11</f>
        <v>40</v>
      </c>
    </row>
    <row r="18" spans="1:13" s="5" customFormat="1" ht="15.75" thickBot="1">
      <c r="A18" s="47"/>
      <c r="B18" s="47"/>
      <c r="C18" s="47"/>
      <c r="H18" s="47"/>
      <c r="I18" s="47"/>
      <c r="J18" s="392" t="s">
        <v>1013</v>
      </c>
      <c r="K18" s="393" t="s">
        <v>622</v>
      </c>
      <c r="L18" s="394">
        <f>1/(1/L15+1/L16+1/L17)</f>
        <v>10.582010582010582</v>
      </c>
    </row>
    <row r="19" spans="1:13" s="5" customFormat="1">
      <c r="A19" s="47"/>
      <c r="B19" s="257" t="s">
        <v>675</v>
      </c>
      <c r="C19" s="258"/>
      <c r="D19" s="259"/>
      <c r="E19" s="259"/>
      <c r="F19" s="259"/>
      <c r="G19" s="260">
        <f>1/(1/G20+1/G21+1/G22+1/G23)</f>
        <v>2.7272727272727271</v>
      </c>
      <c r="H19" s="47"/>
      <c r="I19" s="47"/>
      <c r="J19" s="47"/>
    </row>
    <row r="20" spans="1:13" s="5" customFormat="1">
      <c r="A20" s="47"/>
      <c r="B20" s="266"/>
      <c r="C20" s="197" t="s">
        <v>683</v>
      </c>
      <c r="D20" s="267">
        <v>150</v>
      </c>
      <c r="E20" s="268">
        <v>2</v>
      </c>
      <c r="F20" s="268">
        <v>8</v>
      </c>
      <c r="G20" s="269">
        <f>D20/E20/F20</f>
        <v>9.375</v>
      </c>
      <c r="H20" s="47"/>
      <c r="I20" s="47"/>
      <c r="J20" s="47"/>
    </row>
    <row r="21" spans="1:13">
      <c r="B21" s="266"/>
      <c r="C21" s="270" t="s">
        <v>684</v>
      </c>
      <c r="D21" s="267">
        <v>500</v>
      </c>
      <c r="E21" s="268">
        <v>0.8</v>
      </c>
      <c r="F21" s="268">
        <v>500</v>
      </c>
      <c r="G21" s="269">
        <f>10*2*D21/E21/F21</f>
        <v>25</v>
      </c>
    </row>
    <row r="22" spans="1:13">
      <c r="B22" s="266"/>
      <c r="C22" s="270" t="s">
        <v>685</v>
      </c>
      <c r="D22" s="267">
        <v>500</v>
      </c>
      <c r="E22" s="268">
        <v>3</v>
      </c>
      <c r="F22" s="268">
        <f>4*100</f>
        <v>400</v>
      </c>
      <c r="G22" s="269">
        <f>10*2*D22/E22/F22</f>
        <v>8.3333333333333339</v>
      </c>
    </row>
    <row r="23" spans="1:13" ht="15.75" thickBot="1">
      <c r="B23" s="261"/>
      <c r="C23" s="271" t="s">
        <v>686</v>
      </c>
      <c r="D23" s="263">
        <v>500</v>
      </c>
      <c r="E23" s="272">
        <v>100</v>
      </c>
      <c r="F23" s="272">
        <v>1</v>
      </c>
      <c r="G23" s="273">
        <f>2*D23/E23/F23</f>
        <v>10</v>
      </c>
      <c r="H23" s="274"/>
      <c r="I23" s="274"/>
      <c r="J23" s="274"/>
      <c r="K23" s="274"/>
      <c r="L23" s="274"/>
      <c r="M23" s="274"/>
    </row>
    <row r="24" spans="1:13">
      <c r="H24" s="5"/>
    </row>
    <row r="25" spans="1:13" s="5" customFormat="1" ht="15.75" thickBot="1">
      <c r="A25" s="47"/>
      <c r="B25" s="47"/>
      <c r="C25" s="47"/>
      <c r="I25" s="47"/>
      <c r="J25" s="47"/>
    </row>
    <row r="26" spans="1:13" s="5" customFormat="1">
      <c r="A26" s="47"/>
      <c r="B26" s="257" t="s">
        <v>676</v>
      </c>
      <c r="C26" s="258"/>
      <c r="D26" s="259"/>
      <c r="E26" s="259"/>
      <c r="F26" s="259"/>
      <c r="G26" s="260">
        <f>1/(1/G27+1/G28+1/G29)</f>
        <v>6.5217391304347831</v>
      </c>
      <c r="I26" s="47"/>
      <c r="J26" s="47"/>
    </row>
    <row r="27" spans="1:13">
      <c r="B27" s="266"/>
      <c r="C27" s="197" t="s">
        <v>687</v>
      </c>
      <c r="D27" s="267">
        <v>150</v>
      </c>
      <c r="E27" s="267">
        <v>4</v>
      </c>
      <c r="F27" s="267">
        <v>4</v>
      </c>
      <c r="G27" s="275">
        <f>2*D27/E27/F27</f>
        <v>18.75</v>
      </c>
      <c r="H27" s="5"/>
    </row>
    <row r="28" spans="1:13" s="5" customFormat="1">
      <c r="A28" s="47"/>
      <c r="B28" s="266"/>
      <c r="C28" s="197" t="s">
        <v>688</v>
      </c>
      <c r="D28" s="267">
        <v>150</v>
      </c>
      <c r="E28" s="267">
        <v>4</v>
      </c>
      <c r="F28" s="267">
        <v>3</v>
      </c>
      <c r="G28" s="269">
        <f>D28/E28/F28</f>
        <v>12.5</v>
      </c>
      <c r="I28" s="47"/>
      <c r="J28" s="47"/>
    </row>
    <row r="29" spans="1:13" s="5" customFormat="1" ht="15.75" thickBot="1">
      <c r="A29" s="47"/>
      <c r="B29" s="276"/>
      <c r="C29" s="277" t="s">
        <v>689</v>
      </c>
      <c r="D29" s="263">
        <v>50</v>
      </c>
      <c r="E29" s="263">
        <v>1</v>
      </c>
      <c r="F29" s="263">
        <v>1</v>
      </c>
      <c r="G29" s="273">
        <f>D29/E29/F29</f>
        <v>50</v>
      </c>
      <c r="I29" s="47"/>
      <c r="J29" s="47"/>
    </row>
    <row r="30" spans="1:13" s="5" customFormat="1">
      <c r="A30" s="47"/>
      <c r="I30" s="47"/>
      <c r="J30" s="47"/>
    </row>
    <row r="31" spans="1:13">
      <c r="H31" s="5"/>
    </row>
    <row r="32" spans="1:13" s="5" customFormat="1">
      <c r="A32" s="47"/>
      <c r="D32" s="278"/>
      <c r="E32" s="278"/>
      <c r="F32" s="278"/>
      <c r="I32" s="47"/>
      <c r="J32" s="47"/>
    </row>
    <row r="33" spans="1:10" s="5" customFormat="1">
      <c r="A33" s="47"/>
      <c r="B33" s="47"/>
      <c r="C33" s="279" t="s">
        <v>690</v>
      </c>
      <c r="F33" s="47"/>
      <c r="I33" s="47"/>
      <c r="J33" s="47"/>
    </row>
    <row r="34" spans="1:10" s="5" customFormat="1">
      <c r="A34" s="47"/>
      <c r="B34" s="47"/>
      <c r="C34" s="280" t="s">
        <v>691</v>
      </c>
      <c r="I34" s="47"/>
      <c r="J34" s="47"/>
    </row>
    <row r="35" spans="1:10" s="5" customFormat="1">
      <c r="A35" s="47"/>
      <c r="B35" s="47"/>
      <c r="C35" s="279" t="s">
        <v>692</v>
      </c>
      <c r="I35" s="47"/>
      <c r="J35" s="47"/>
    </row>
    <row r="36" spans="1:10" s="5" customFormat="1">
      <c r="A36" s="47"/>
      <c r="C36" s="281">
        <f>G19*G26/(G19+G26)</f>
        <v>1.9230769230769229</v>
      </c>
      <c r="I36" s="47"/>
      <c r="J36" s="47"/>
    </row>
    <row r="37" spans="1:10" s="5" customFormat="1">
      <c r="A37" s="47"/>
      <c r="I37" s="47"/>
      <c r="J37" s="47"/>
    </row>
    <row r="38" spans="1:10" s="5" customFormat="1">
      <c r="A38" s="47"/>
      <c r="I38" s="47"/>
      <c r="J38" s="47"/>
    </row>
    <row r="39" spans="1:10" s="5" customFormat="1">
      <c r="A39" s="47"/>
      <c r="I39" s="47"/>
      <c r="J39" s="47"/>
    </row>
    <row r="40" spans="1:10" s="5" customFormat="1">
      <c r="A40" s="47"/>
      <c r="I40" s="47"/>
      <c r="J40" s="47"/>
    </row>
    <row r="41" spans="1:10">
      <c r="B41" s="5"/>
      <c r="C41" s="5"/>
      <c r="H41" s="5"/>
    </row>
    <row r="42" spans="1:10">
      <c r="B42" s="5"/>
      <c r="C42" s="5"/>
      <c r="H42" s="5"/>
    </row>
    <row r="43" spans="1:10" s="5" customFormat="1">
      <c r="A43" s="47"/>
      <c r="I43" s="47"/>
      <c r="J43" s="47"/>
    </row>
    <row r="44" spans="1:10">
      <c r="B44" s="5"/>
      <c r="C44" s="5"/>
      <c r="H44" s="5"/>
    </row>
    <row r="45" spans="1:10">
      <c r="B45" s="5"/>
      <c r="C45" s="5"/>
      <c r="H45" s="5"/>
    </row>
    <row r="46" spans="1:10">
      <c r="H46" s="5"/>
    </row>
    <row r="47" spans="1:10">
      <c r="H47" s="5"/>
    </row>
    <row r="48" spans="1:10">
      <c r="H48" s="5"/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50"/>
  <sheetViews>
    <sheetView workbookViewId="0">
      <selection activeCell="G19" sqref="G19"/>
    </sheetView>
  </sheetViews>
  <sheetFormatPr defaultRowHeight="15"/>
  <cols>
    <col min="1" max="1" width="9.140625" style="47"/>
    <col min="2" max="2" width="25.140625" style="5" customWidth="1"/>
    <col min="3" max="7" width="13.5703125" style="47" customWidth="1"/>
    <col min="8" max="11" width="13.5703125" style="5" customWidth="1"/>
    <col min="12" max="14" width="12.5703125" style="5" customWidth="1"/>
    <col min="15" max="16384" width="9.140625" style="47"/>
  </cols>
  <sheetData>
    <row r="1" spans="1:14" ht="21">
      <c r="A1" s="287" t="s">
        <v>723</v>
      </c>
    </row>
    <row r="3" spans="1:14">
      <c r="C3" s="372" t="s">
        <v>696</v>
      </c>
      <c r="D3" s="372"/>
      <c r="E3" s="372"/>
      <c r="F3" s="373" t="s">
        <v>724</v>
      </c>
      <c r="G3" s="372"/>
      <c r="H3" s="372"/>
      <c r="I3" s="373" t="s">
        <v>730</v>
      </c>
      <c r="J3" s="372"/>
      <c r="K3" s="372"/>
    </row>
    <row r="4" spans="1:14" s="178" customFormat="1" ht="45">
      <c r="B4" s="286" t="s">
        <v>697</v>
      </c>
      <c r="C4" s="247" t="s">
        <v>727</v>
      </c>
      <c r="D4" s="247" t="s">
        <v>728</v>
      </c>
      <c r="E4" s="247" t="s">
        <v>698</v>
      </c>
      <c r="F4" s="247" t="s">
        <v>727</v>
      </c>
      <c r="G4" s="247" t="s">
        <v>728</v>
      </c>
      <c r="H4" s="247" t="s">
        <v>698</v>
      </c>
      <c r="I4" s="247" t="s">
        <v>727</v>
      </c>
      <c r="J4" s="247" t="s">
        <v>728</v>
      </c>
      <c r="K4" s="247" t="s">
        <v>698</v>
      </c>
      <c r="L4" s="169"/>
      <c r="M4" s="169"/>
      <c r="N4" s="169"/>
    </row>
    <row r="5" spans="1:14">
      <c r="B5" s="214">
        <v>16</v>
      </c>
      <c r="C5" s="20">
        <v>13</v>
      </c>
      <c r="D5" s="30">
        <f>PI()*C5^2/4</f>
        <v>132.73228961416876</v>
      </c>
      <c r="E5" s="30">
        <f>D5/3</f>
        <v>44.244096538056255</v>
      </c>
      <c r="F5" s="285">
        <v>12</v>
      </c>
      <c r="G5" s="30">
        <f>PI()*F5^2/4</f>
        <v>113.09733552923255</v>
      </c>
      <c r="H5" s="30">
        <f>G5/3</f>
        <v>37.699111843077517</v>
      </c>
      <c r="I5" s="289"/>
      <c r="J5" s="290"/>
      <c r="K5" s="290"/>
    </row>
    <row r="6" spans="1:14">
      <c r="B6" s="214">
        <v>20</v>
      </c>
      <c r="C6" s="20">
        <v>17.399999999999999</v>
      </c>
      <c r="D6" s="30">
        <f t="shared" ref="D6:D14" si="0">PI()*C6^2/4</f>
        <v>237.78714795021139</v>
      </c>
      <c r="E6" s="30">
        <f t="shared" ref="E6:E14" si="1">D6/3</f>
        <v>79.262382650070464</v>
      </c>
      <c r="F6" s="284">
        <v>16.2</v>
      </c>
      <c r="G6" s="30">
        <f t="shared" ref="G6:G9" si="2">PI()*F6^2/4</f>
        <v>206.11989400202631</v>
      </c>
      <c r="H6" s="30">
        <f t="shared" ref="H6:H9" si="3">G6/3</f>
        <v>68.706631334008776</v>
      </c>
      <c r="I6" s="291"/>
      <c r="J6" s="290"/>
      <c r="K6" s="290"/>
    </row>
    <row r="7" spans="1:14">
      <c r="B7" s="214">
        <v>25</v>
      </c>
      <c r="C7" s="20">
        <v>21.6</v>
      </c>
      <c r="D7" s="30">
        <f t="shared" si="0"/>
        <v>366.43536711471353</v>
      </c>
      <c r="E7" s="30">
        <f t="shared" si="1"/>
        <v>122.14512237157118</v>
      </c>
      <c r="F7" s="284">
        <v>20.2</v>
      </c>
      <c r="G7" s="30">
        <f t="shared" si="2"/>
        <v>320.47386659269478</v>
      </c>
      <c r="H7" s="30">
        <f t="shared" si="3"/>
        <v>106.82462219756492</v>
      </c>
      <c r="I7" s="291"/>
      <c r="J7" s="290"/>
      <c r="K7" s="290"/>
    </row>
    <row r="8" spans="1:14">
      <c r="B8" s="214">
        <v>32</v>
      </c>
      <c r="C8" s="20">
        <v>28.4</v>
      </c>
      <c r="D8" s="30">
        <f t="shared" si="0"/>
        <v>633.47074266984589</v>
      </c>
      <c r="E8" s="30">
        <f t="shared" si="1"/>
        <v>211.15691422328197</v>
      </c>
      <c r="F8" s="284">
        <v>25.4</v>
      </c>
      <c r="G8" s="30">
        <f t="shared" si="2"/>
        <v>506.7074790974977</v>
      </c>
      <c r="H8" s="30">
        <f t="shared" si="3"/>
        <v>168.90249303249922</v>
      </c>
      <c r="I8" s="291"/>
      <c r="J8" s="290"/>
      <c r="K8" s="290"/>
    </row>
    <row r="9" spans="1:14">
      <c r="B9" s="214">
        <v>40</v>
      </c>
      <c r="C9" s="20">
        <v>35</v>
      </c>
      <c r="D9" s="30">
        <f t="shared" si="0"/>
        <v>962.11275016187415</v>
      </c>
      <c r="E9" s="30">
        <f t="shared" si="1"/>
        <v>320.70425005395805</v>
      </c>
      <c r="F9" s="284">
        <v>32.5</v>
      </c>
      <c r="G9" s="30">
        <f t="shared" si="2"/>
        <v>829.57681008855479</v>
      </c>
      <c r="H9" s="30">
        <f t="shared" si="3"/>
        <v>276.5256033628516</v>
      </c>
      <c r="I9" s="284">
        <v>30</v>
      </c>
      <c r="J9" s="30">
        <f t="shared" ref="J9:J17" si="4">PI()*I9^2/4</f>
        <v>706.85834705770344</v>
      </c>
      <c r="K9" s="30">
        <f t="shared" ref="K9:K17" si="5">J9/3</f>
        <v>235.61944901923448</v>
      </c>
    </row>
    <row r="10" spans="1:14">
      <c r="B10" s="214">
        <v>50</v>
      </c>
      <c r="C10" s="20">
        <v>44</v>
      </c>
      <c r="D10" s="30">
        <f t="shared" si="0"/>
        <v>1520.5308443374599</v>
      </c>
      <c r="E10" s="30">
        <f t="shared" si="1"/>
        <v>506.84361477915331</v>
      </c>
      <c r="F10" s="288"/>
      <c r="G10" s="288"/>
      <c r="H10" s="288"/>
      <c r="I10" s="284">
        <v>37</v>
      </c>
      <c r="J10" s="30">
        <f t="shared" si="4"/>
        <v>1075.2100856911068</v>
      </c>
      <c r="K10" s="30">
        <f t="shared" si="5"/>
        <v>358.40336189703561</v>
      </c>
    </row>
    <row r="11" spans="1:14">
      <c r="B11" s="214">
        <v>63</v>
      </c>
      <c r="C11" s="20">
        <v>56.4</v>
      </c>
      <c r="D11" s="30">
        <f t="shared" si="0"/>
        <v>2498.3201418407471</v>
      </c>
      <c r="E11" s="30">
        <f t="shared" si="1"/>
        <v>832.77338061358239</v>
      </c>
      <c r="F11" s="288"/>
      <c r="G11" s="288"/>
      <c r="H11" s="288"/>
      <c r="I11" s="284">
        <v>47</v>
      </c>
      <c r="J11" s="30">
        <f t="shared" si="4"/>
        <v>1734.9445429449634</v>
      </c>
      <c r="K11" s="30">
        <f t="shared" si="5"/>
        <v>578.31484764832112</v>
      </c>
    </row>
    <row r="12" spans="1:14">
      <c r="B12" s="214">
        <v>75</v>
      </c>
      <c r="C12" s="20">
        <v>68</v>
      </c>
      <c r="D12" s="30">
        <f t="shared" si="0"/>
        <v>3631.6811075498008</v>
      </c>
      <c r="E12" s="30">
        <f t="shared" si="1"/>
        <v>1210.5603691832669</v>
      </c>
      <c r="F12" s="288"/>
      <c r="G12" s="288"/>
      <c r="H12" s="288"/>
      <c r="I12" s="284">
        <v>56</v>
      </c>
      <c r="J12" s="30">
        <f t="shared" si="4"/>
        <v>2463.0086404143976</v>
      </c>
      <c r="K12" s="30">
        <f t="shared" si="5"/>
        <v>821.00288013813258</v>
      </c>
    </row>
    <row r="13" spans="1:14">
      <c r="B13" s="214">
        <v>90</v>
      </c>
      <c r="C13" s="20">
        <v>83</v>
      </c>
      <c r="D13" s="30">
        <f t="shared" si="0"/>
        <v>5410.6079476450213</v>
      </c>
      <c r="E13" s="30">
        <f t="shared" si="1"/>
        <v>1803.5359825483404</v>
      </c>
      <c r="F13" s="288"/>
      <c r="G13" s="288"/>
      <c r="H13" s="288"/>
      <c r="I13" s="284">
        <v>67</v>
      </c>
      <c r="J13" s="30">
        <f t="shared" si="4"/>
        <v>3525.6523554911455</v>
      </c>
      <c r="K13" s="30">
        <f t="shared" si="5"/>
        <v>1175.2174518303818</v>
      </c>
    </row>
    <row r="14" spans="1:14">
      <c r="B14" s="214">
        <v>110</v>
      </c>
      <c r="C14" s="20">
        <v>104</v>
      </c>
      <c r="D14" s="30">
        <f t="shared" si="0"/>
        <v>8494.8665353068009</v>
      </c>
      <c r="E14" s="30">
        <f t="shared" si="1"/>
        <v>2831.6221784356003</v>
      </c>
      <c r="F14" s="288"/>
      <c r="G14" s="288"/>
      <c r="H14" s="288"/>
      <c r="I14" s="284">
        <v>82</v>
      </c>
      <c r="J14" s="30">
        <f t="shared" si="4"/>
        <v>5281.0172506844419</v>
      </c>
      <c r="K14" s="30">
        <f t="shared" si="5"/>
        <v>1760.3390835614807</v>
      </c>
    </row>
    <row r="15" spans="1:14">
      <c r="B15" s="214">
        <v>125</v>
      </c>
      <c r="C15" s="293"/>
      <c r="D15" s="290"/>
      <c r="E15" s="290"/>
      <c r="F15" s="288"/>
      <c r="G15" s="288"/>
      <c r="H15" s="288"/>
      <c r="I15" s="284">
        <v>94</v>
      </c>
      <c r="J15" s="30">
        <f t="shared" si="4"/>
        <v>6939.7781717798534</v>
      </c>
      <c r="K15" s="30">
        <f t="shared" si="5"/>
        <v>2313.2593905932845</v>
      </c>
    </row>
    <row r="16" spans="1:14">
      <c r="B16" s="214">
        <v>160</v>
      </c>
      <c r="C16" s="293"/>
      <c r="D16" s="290"/>
      <c r="E16" s="290"/>
      <c r="F16" s="288"/>
      <c r="G16" s="288"/>
      <c r="H16" s="288"/>
      <c r="I16" s="284">
        <v>120</v>
      </c>
      <c r="J16" s="30">
        <f t="shared" si="4"/>
        <v>11309.733552923255</v>
      </c>
      <c r="K16" s="30">
        <f t="shared" si="5"/>
        <v>3769.9111843077517</v>
      </c>
    </row>
    <row r="17" spans="2:14">
      <c r="B17" s="214">
        <v>200</v>
      </c>
      <c r="C17" s="293"/>
      <c r="D17" s="290"/>
      <c r="E17" s="290"/>
      <c r="F17" s="288"/>
      <c r="G17" s="288"/>
      <c r="H17" s="288"/>
      <c r="I17" s="284">
        <v>150</v>
      </c>
      <c r="J17" s="30">
        <f t="shared" si="4"/>
        <v>17671.458676442588</v>
      </c>
      <c r="K17" s="30">
        <f t="shared" si="5"/>
        <v>5890.4862254808622</v>
      </c>
    </row>
    <row r="19" spans="2:14">
      <c r="B19" s="280" t="s">
        <v>729</v>
      </c>
    </row>
    <row r="20" spans="2:14">
      <c r="B20" s="280" t="s">
        <v>736</v>
      </c>
    </row>
    <row r="22" spans="2:14">
      <c r="B22" s="18" t="s">
        <v>702</v>
      </c>
      <c r="C22" s="376" t="s">
        <v>694</v>
      </c>
      <c r="D22" s="376" t="s">
        <v>699</v>
      </c>
      <c r="E22" s="374" t="s">
        <v>695</v>
      </c>
      <c r="F22" s="374" t="s">
        <v>700</v>
      </c>
      <c r="G22" s="374" t="s">
        <v>731</v>
      </c>
      <c r="H22" s="47"/>
      <c r="I22" s="47"/>
      <c r="J22" s="47"/>
      <c r="K22" s="47"/>
      <c r="L22" s="47"/>
      <c r="M22" s="47"/>
      <c r="N22" s="47"/>
    </row>
    <row r="23" spans="2:14" ht="48" customHeight="1">
      <c r="B23" s="18" t="s">
        <v>693</v>
      </c>
      <c r="C23" s="377"/>
      <c r="D23" s="377"/>
      <c r="E23" s="375"/>
      <c r="F23" s="375"/>
      <c r="G23" s="375"/>
      <c r="H23" s="47"/>
      <c r="I23" s="47"/>
      <c r="J23" s="47"/>
      <c r="K23" s="47"/>
      <c r="L23" s="47"/>
      <c r="M23" s="47"/>
      <c r="N23" s="47"/>
    </row>
    <row r="24" spans="2:14">
      <c r="B24" s="18" t="s">
        <v>701</v>
      </c>
      <c r="C24" s="282">
        <v>10</v>
      </c>
      <c r="D24" s="283">
        <f>PI()*C24^2/4</f>
        <v>78.539816339744831</v>
      </c>
      <c r="E24" s="292">
        <f>IF($D24&lt;$E$5,$B$5,IF($D24&lt;$E$6,$B$6,IF($D24&lt;$E$7,$B$7,IF($D24&lt;$E$8,$B$8,IF($D24&lt;$E$9,$B$9,IF($D24&lt;$E$10,$B$10,IF($D24&lt;$E$11,$B$11,IF($D24&lt;$E$12,$B$12,IF($D24&lt;$E$13,$B$13,IF($D24&lt;$E$14,$B$14,"---"))))))))))</f>
        <v>20</v>
      </c>
      <c r="F24" s="292">
        <f t="shared" ref="F24:F50" si="6">IF(D24&lt;$H$5,$B$5,IF(D24&lt;$H$6,$B$6,IF(D24&lt;$H$7,$B$7,IF(D24&lt;$H$8,$B$8,IF(D24&lt;$H$9,$B$9,"---")))))</f>
        <v>25</v>
      </c>
      <c r="G24" s="292">
        <f>IF($D24&lt;$K$5,$B$5,IF($D24&lt;$K$6,$B$6,IF($D24&lt;$K$7,$B$7,IF($D24&lt;$K$8,$B$8,IF($D24&lt;$K$9,$B$9,IF($D24&lt;$K$10,$B$10,IF($D24&lt;$K$11,$B$11,IF($D24&lt;$K$12,$B$12,IF($D24&lt;$K$13,$B$13,IF($D24&lt;$K$14,$B$14,IF($D24&lt;$K$15,$B$15,IF($D24&lt;$K$16,$B$16,IF($D24&lt;$K$17,$B$17,"---")))))))))))))</f>
        <v>40</v>
      </c>
      <c r="H24" s="47"/>
      <c r="I24" s="47"/>
      <c r="J24" s="47"/>
      <c r="K24" s="47"/>
      <c r="L24" s="47"/>
      <c r="M24" s="47"/>
      <c r="N24" s="47"/>
    </row>
    <row r="25" spans="2:14">
      <c r="B25" s="18" t="s">
        <v>703</v>
      </c>
      <c r="C25" s="282">
        <v>10.5</v>
      </c>
      <c r="D25" s="283">
        <f t="shared" ref="D25:D44" si="7">PI()*C25^2/4</f>
        <v>86.59014751456867</v>
      </c>
      <c r="E25" s="292">
        <f t="shared" ref="E25:E50" si="8">IF(D25&lt;$E$5,$B$5,IF(D25&lt;$E$6,$B$6,IF(D25&lt;$E$7,$B$7,IF(D25&lt;$E$8,$B$8,IF(D25&lt;$E$9,$B$9,IF(D25&lt;$E$10,$B$10,IF(D25&lt;$E$11,$B$11,IF(D25&lt;$E$12,$B$12,IF(D25&lt;$E$13,$B$13,IF(D25&lt;$E$14,$B$14,"---"))))))))))</f>
        <v>25</v>
      </c>
      <c r="F25" s="292">
        <f t="shared" si="6"/>
        <v>25</v>
      </c>
      <c r="G25" s="292">
        <f t="shared" ref="G25:G50" si="9">IF($D25&lt;$K$5,$B$5,IF($D25&lt;$K$6,$B$6,IF($D25&lt;$K$7,$B$7,IF($D25&lt;$K$8,$B$8,IF($D25&lt;$K$9,$B$9,IF($D25&lt;$K$10,$B$10,IF($D25&lt;$K$11,$B$11,IF($D25&lt;$K$12,$B$12,IF($D25&lt;$K$13,$B$13,IF($D25&lt;$K$14,$B$14,IF($D25&lt;$K$15,$B$15,IF($D25&lt;$K$16,$B$16,IF($D25&lt;$K$17,$B$17,"---")))))))))))))</f>
        <v>40</v>
      </c>
      <c r="H25" s="47"/>
      <c r="I25" s="47"/>
      <c r="J25" s="47"/>
      <c r="K25" s="47"/>
      <c r="L25" s="47"/>
      <c r="M25" s="47"/>
      <c r="N25" s="47"/>
    </row>
    <row r="26" spans="2:14">
      <c r="B26" s="18" t="s">
        <v>704</v>
      </c>
      <c r="C26" s="282">
        <v>11.5</v>
      </c>
      <c r="D26" s="283">
        <f t="shared" si="7"/>
        <v>103.86890710931253</v>
      </c>
      <c r="E26" s="292">
        <f t="shared" si="8"/>
        <v>25</v>
      </c>
      <c r="F26" s="292">
        <f t="shared" si="6"/>
        <v>25</v>
      </c>
      <c r="G26" s="292">
        <f t="shared" si="9"/>
        <v>40</v>
      </c>
      <c r="H26" s="47"/>
      <c r="I26" s="47"/>
      <c r="J26" s="47"/>
      <c r="K26" s="47"/>
      <c r="L26" s="47"/>
      <c r="M26" s="47"/>
      <c r="N26" s="47"/>
    </row>
    <row r="27" spans="2:14">
      <c r="B27" s="18" t="s">
        <v>705</v>
      </c>
      <c r="C27" s="282">
        <v>11.5</v>
      </c>
      <c r="D27" s="283">
        <f t="shared" si="7"/>
        <v>103.86890710931253</v>
      </c>
      <c r="E27" s="292">
        <f t="shared" si="8"/>
        <v>25</v>
      </c>
      <c r="F27" s="292">
        <f t="shared" si="6"/>
        <v>25</v>
      </c>
      <c r="G27" s="292">
        <f t="shared" si="9"/>
        <v>40</v>
      </c>
      <c r="H27" s="47"/>
      <c r="I27" s="47"/>
      <c r="J27" s="47"/>
      <c r="K27" s="47"/>
      <c r="L27" s="47"/>
      <c r="M27" s="47"/>
      <c r="N27" s="47"/>
    </row>
    <row r="28" spans="2:14">
      <c r="B28" s="18" t="s">
        <v>706</v>
      </c>
      <c r="C28" s="282">
        <v>12.5</v>
      </c>
      <c r="D28" s="283">
        <f t="shared" si="7"/>
        <v>122.7184630308513</v>
      </c>
      <c r="E28" s="292">
        <f t="shared" si="8"/>
        <v>32</v>
      </c>
      <c r="F28" s="292">
        <f t="shared" si="6"/>
        <v>32</v>
      </c>
      <c r="G28" s="292">
        <f t="shared" si="9"/>
        <v>40</v>
      </c>
      <c r="H28" s="47"/>
      <c r="I28" s="47"/>
      <c r="J28" s="47"/>
      <c r="K28" s="47"/>
      <c r="L28" s="47"/>
      <c r="M28" s="47"/>
      <c r="N28" s="47"/>
    </row>
    <row r="29" spans="2:14">
      <c r="B29" s="18" t="s">
        <v>707</v>
      </c>
      <c r="C29" s="282">
        <v>13.5</v>
      </c>
      <c r="D29" s="283">
        <f t="shared" si="7"/>
        <v>143.13881527918494</v>
      </c>
      <c r="E29" s="292">
        <f t="shared" si="8"/>
        <v>32</v>
      </c>
      <c r="F29" s="292">
        <f t="shared" si="6"/>
        <v>32</v>
      </c>
      <c r="G29" s="292">
        <f t="shared" si="9"/>
        <v>40</v>
      </c>
      <c r="H29" s="47"/>
      <c r="I29" s="47"/>
      <c r="J29" s="47"/>
      <c r="K29" s="47"/>
      <c r="L29" s="47"/>
      <c r="M29" s="47"/>
      <c r="N29" s="47"/>
    </row>
    <row r="30" spans="2:14">
      <c r="B30" s="18" t="s">
        <v>708</v>
      </c>
      <c r="C30" s="282">
        <v>15</v>
      </c>
      <c r="D30" s="283">
        <f t="shared" si="7"/>
        <v>176.71458676442586</v>
      </c>
      <c r="E30" s="292">
        <f t="shared" si="8"/>
        <v>32</v>
      </c>
      <c r="F30" s="292">
        <f t="shared" si="6"/>
        <v>40</v>
      </c>
      <c r="G30" s="292">
        <f t="shared" si="9"/>
        <v>40</v>
      </c>
      <c r="H30" s="47"/>
      <c r="I30" s="47"/>
      <c r="J30" s="47"/>
      <c r="K30" s="47"/>
      <c r="L30" s="47"/>
      <c r="M30" s="47"/>
      <c r="N30" s="47"/>
    </row>
    <row r="31" spans="2:14">
      <c r="B31" s="18" t="s">
        <v>709</v>
      </c>
      <c r="C31" s="282">
        <v>18</v>
      </c>
      <c r="D31" s="283">
        <f t="shared" si="7"/>
        <v>254.46900494077323</v>
      </c>
      <c r="E31" s="292">
        <f t="shared" si="8"/>
        <v>40</v>
      </c>
      <c r="F31" s="292">
        <f t="shared" si="6"/>
        <v>40</v>
      </c>
      <c r="G31" s="292">
        <f t="shared" si="9"/>
        <v>50</v>
      </c>
      <c r="H31" s="47"/>
      <c r="I31" s="47"/>
      <c r="J31" s="47"/>
      <c r="K31" s="47"/>
      <c r="L31" s="47"/>
      <c r="M31" s="47"/>
      <c r="N31" s="47"/>
    </row>
    <row r="32" spans="2:14">
      <c r="B32" s="18" t="s">
        <v>710</v>
      </c>
      <c r="C32" s="282">
        <v>20</v>
      </c>
      <c r="D32" s="283">
        <f t="shared" si="7"/>
        <v>314.15926535897933</v>
      </c>
      <c r="E32" s="292">
        <f t="shared" si="8"/>
        <v>40</v>
      </c>
      <c r="F32" s="292" t="str">
        <f t="shared" si="6"/>
        <v>---</v>
      </c>
      <c r="G32" s="292">
        <f t="shared" si="9"/>
        <v>50</v>
      </c>
      <c r="H32" s="47"/>
      <c r="I32" s="47"/>
      <c r="J32" s="47"/>
      <c r="K32" s="47"/>
      <c r="L32" s="47"/>
      <c r="M32" s="47"/>
      <c r="N32" s="47"/>
    </row>
    <row r="33" spans="2:14">
      <c r="B33" s="18" t="s">
        <v>711</v>
      </c>
      <c r="C33" s="282">
        <v>23.5</v>
      </c>
      <c r="D33" s="283">
        <f t="shared" si="7"/>
        <v>433.73613573624084</v>
      </c>
      <c r="E33" s="292">
        <f t="shared" si="8"/>
        <v>50</v>
      </c>
      <c r="F33" s="292" t="str">
        <f t="shared" si="6"/>
        <v>---</v>
      </c>
      <c r="G33" s="292">
        <f t="shared" si="9"/>
        <v>63</v>
      </c>
      <c r="H33" s="47"/>
      <c r="I33" s="47"/>
      <c r="J33" s="47"/>
      <c r="K33" s="47"/>
      <c r="L33" s="47"/>
      <c r="M33" s="47"/>
      <c r="N33" s="47"/>
    </row>
    <row r="34" spans="2:14">
      <c r="B34" s="18" t="s">
        <v>712</v>
      </c>
      <c r="C34" s="282">
        <v>26</v>
      </c>
      <c r="D34" s="283">
        <f t="shared" si="7"/>
        <v>530.92915845667505</v>
      </c>
      <c r="E34" s="292">
        <f t="shared" si="8"/>
        <v>63</v>
      </c>
      <c r="F34" s="292" t="str">
        <f t="shared" si="6"/>
        <v>---</v>
      </c>
      <c r="G34" s="292">
        <f t="shared" si="9"/>
        <v>63</v>
      </c>
    </row>
    <row r="35" spans="2:14">
      <c r="B35" s="18" t="s">
        <v>713</v>
      </c>
      <c r="C35" s="282">
        <v>29.5</v>
      </c>
      <c r="D35" s="283">
        <f t="shared" si="7"/>
        <v>683.4927516966294</v>
      </c>
      <c r="E35" s="292">
        <f t="shared" si="8"/>
        <v>63</v>
      </c>
      <c r="F35" s="292" t="str">
        <f t="shared" si="6"/>
        <v>---</v>
      </c>
      <c r="G35" s="292">
        <f t="shared" si="9"/>
        <v>75</v>
      </c>
    </row>
    <row r="36" spans="2:14">
      <c r="B36" s="18" t="s">
        <v>714</v>
      </c>
      <c r="C36" s="282">
        <v>15.5</v>
      </c>
      <c r="D36" s="283">
        <f t="shared" si="7"/>
        <v>188.69190875623696</v>
      </c>
      <c r="E36" s="292">
        <f t="shared" si="8"/>
        <v>32</v>
      </c>
      <c r="F36" s="292">
        <f t="shared" si="6"/>
        <v>40</v>
      </c>
      <c r="G36" s="292">
        <f t="shared" si="9"/>
        <v>40</v>
      </c>
    </row>
    <row r="37" spans="2:14">
      <c r="B37" s="18" t="s">
        <v>715</v>
      </c>
      <c r="C37" s="282">
        <v>17.5</v>
      </c>
      <c r="D37" s="283">
        <f t="shared" si="7"/>
        <v>240.52818754046854</v>
      </c>
      <c r="E37" s="292">
        <f t="shared" si="8"/>
        <v>40</v>
      </c>
      <c r="F37" s="292">
        <f t="shared" si="6"/>
        <v>40</v>
      </c>
      <c r="G37" s="292">
        <f t="shared" si="9"/>
        <v>50</v>
      </c>
    </row>
    <row r="38" spans="2:14">
      <c r="B38" s="18" t="s">
        <v>716</v>
      </c>
      <c r="C38" s="282">
        <v>19.5</v>
      </c>
      <c r="D38" s="283">
        <f t="shared" si="7"/>
        <v>298.64765163187968</v>
      </c>
      <c r="E38" s="292">
        <f t="shared" si="8"/>
        <v>40</v>
      </c>
      <c r="F38" s="292" t="str">
        <f t="shared" si="6"/>
        <v>---</v>
      </c>
      <c r="G38" s="292">
        <f t="shared" si="9"/>
        <v>50</v>
      </c>
    </row>
    <row r="39" spans="2:14">
      <c r="B39" s="18" t="s">
        <v>717</v>
      </c>
      <c r="C39" s="282">
        <v>21</v>
      </c>
      <c r="D39" s="283">
        <f t="shared" si="7"/>
        <v>346.36059005827468</v>
      </c>
      <c r="E39" s="292">
        <f t="shared" si="8"/>
        <v>50</v>
      </c>
      <c r="F39" s="292" t="str">
        <f t="shared" si="6"/>
        <v>---</v>
      </c>
      <c r="G39" s="292">
        <f t="shared" si="9"/>
        <v>50</v>
      </c>
    </row>
    <row r="40" spans="2:14">
      <c r="B40" s="18" t="s">
        <v>718</v>
      </c>
      <c r="C40" s="282">
        <f>23.5</f>
        <v>23.5</v>
      </c>
      <c r="D40" s="283">
        <f t="shared" si="7"/>
        <v>433.73613573624084</v>
      </c>
      <c r="E40" s="292">
        <f t="shared" si="8"/>
        <v>50</v>
      </c>
      <c r="F40" s="292" t="str">
        <f t="shared" si="6"/>
        <v>---</v>
      </c>
      <c r="G40" s="292">
        <f t="shared" si="9"/>
        <v>63</v>
      </c>
    </row>
    <row r="41" spans="2:14">
      <c r="B41" s="18" t="s">
        <v>734</v>
      </c>
      <c r="C41" s="282">
        <v>38.5</v>
      </c>
      <c r="D41" s="283">
        <f t="shared" si="7"/>
        <v>1164.1564276958677</v>
      </c>
      <c r="E41" s="292">
        <f t="shared" si="8"/>
        <v>75</v>
      </c>
      <c r="F41" s="292" t="str">
        <f t="shared" si="6"/>
        <v>---</v>
      </c>
      <c r="G41" s="292">
        <f t="shared" si="9"/>
        <v>90</v>
      </c>
    </row>
    <row r="42" spans="2:14">
      <c r="B42" s="18" t="s">
        <v>735</v>
      </c>
      <c r="C42" s="282">
        <v>42.5</v>
      </c>
      <c r="D42" s="283">
        <f t="shared" si="7"/>
        <v>1418.6254326366409</v>
      </c>
      <c r="E42" s="292">
        <f t="shared" si="8"/>
        <v>90</v>
      </c>
      <c r="F42" s="292" t="str">
        <f t="shared" si="6"/>
        <v>---</v>
      </c>
      <c r="G42" s="292">
        <f t="shared" si="9"/>
        <v>110</v>
      </c>
    </row>
    <row r="43" spans="2:14">
      <c r="B43" s="18" t="s">
        <v>733</v>
      </c>
      <c r="C43" s="282">
        <v>49</v>
      </c>
      <c r="D43" s="283">
        <f t="shared" si="7"/>
        <v>1885.7409903172734</v>
      </c>
      <c r="E43" s="292">
        <f t="shared" si="8"/>
        <v>110</v>
      </c>
      <c r="F43" s="292" t="str">
        <f t="shared" si="6"/>
        <v>---</v>
      </c>
      <c r="G43" s="292">
        <f t="shared" si="9"/>
        <v>125</v>
      </c>
    </row>
    <row r="44" spans="2:14">
      <c r="B44" s="18" t="s">
        <v>732</v>
      </c>
      <c r="C44" s="282">
        <v>57.5</v>
      </c>
      <c r="D44" s="283">
        <f t="shared" si="7"/>
        <v>2596.7226777328133</v>
      </c>
      <c r="E44" s="292">
        <f t="shared" si="8"/>
        <v>110</v>
      </c>
      <c r="F44" s="292" t="str">
        <f t="shared" si="6"/>
        <v>---</v>
      </c>
      <c r="G44" s="292">
        <f t="shared" si="9"/>
        <v>160</v>
      </c>
    </row>
    <row r="45" spans="2:14">
      <c r="B45" s="18" t="s">
        <v>719</v>
      </c>
      <c r="C45" s="282">
        <v>3.5</v>
      </c>
      <c r="D45" s="283">
        <f>PI()*C45^2/4*3</f>
        <v>28.863382504856222</v>
      </c>
      <c r="E45" s="292">
        <f t="shared" si="8"/>
        <v>16</v>
      </c>
      <c r="F45" s="292">
        <f t="shared" si="6"/>
        <v>16</v>
      </c>
      <c r="G45" s="292">
        <f t="shared" si="9"/>
        <v>40</v>
      </c>
    </row>
    <row r="46" spans="2:14">
      <c r="B46" s="18" t="s">
        <v>720</v>
      </c>
      <c r="C46" s="282">
        <v>3.5</v>
      </c>
      <c r="D46" s="283">
        <f>PI()*C46^2/4*5</f>
        <v>48.105637508093707</v>
      </c>
      <c r="E46" s="292">
        <f t="shared" si="8"/>
        <v>20</v>
      </c>
      <c r="F46" s="292">
        <f t="shared" si="6"/>
        <v>20</v>
      </c>
      <c r="G46" s="292">
        <f t="shared" si="9"/>
        <v>40</v>
      </c>
    </row>
    <row r="47" spans="2:14">
      <c r="B47" s="18" t="s">
        <v>721</v>
      </c>
      <c r="C47" s="282">
        <v>4</v>
      </c>
      <c r="D47" s="283">
        <f>PI()*C47^2/4*3</f>
        <v>37.699111843077517</v>
      </c>
      <c r="E47" s="292">
        <f t="shared" si="8"/>
        <v>16</v>
      </c>
      <c r="F47" s="292">
        <f t="shared" si="6"/>
        <v>20</v>
      </c>
      <c r="G47" s="292">
        <f t="shared" si="9"/>
        <v>40</v>
      </c>
    </row>
    <row r="48" spans="2:14">
      <c r="B48" s="18" t="s">
        <v>722</v>
      </c>
      <c r="C48" s="282">
        <v>4</v>
      </c>
      <c r="D48" s="283">
        <f>PI()*C48^2/4*5</f>
        <v>62.831853071795862</v>
      </c>
      <c r="E48" s="292">
        <f t="shared" si="8"/>
        <v>20</v>
      </c>
      <c r="F48" s="292">
        <f t="shared" si="6"/>
        <v>20</v>
      </c>
      <c r="G48" s="292">
        <f t="shared" si="9"/>
        <v>40</v>
      </c>
    </row>
    <row r="49" spans="2:7">
      <c r="B49" s="18" t="s">
        <v>725</v>
      </c>
      <c r="C49" s="282">
        <v>4.5</v>
      </c>
      <c r="D49" s="283">
        <f>PI()*C49^2/4*3</f>
        <v>47.712938426394985</v>
      </c>
      <c r="E49" s="292">
        <f t="shared" si="8"/>
        <v>20</v>
      </c>
      <c r="F49" s="292">
        <f t="shared" si="6"/>
        <v>20</v>
      </c>
      <c r="G49" s="292">
        <f t="shared" si="9"/>
        <v>40</v>
      </c>
    </row>
    <row r="50" spans="2:7">
      <c r="B50" s="18" t="s">
        <v>726</v>
      </c>
      <c r="C50" s="282">
        <v>4.5</v>
      </c>
      <c r="D50" s="283">
        <f>PI()*C50^2/4*5</f>
        <v>79.521564043991631</v>
      </c>
      <c r="E50" s="292">
        <f t="shared" si="8"/>
        <v>25</v>
      </c>
      <c r="F50" s="292">
        <f t="shared" si="6"/>
        <v>25</v>
      </c>
      <c r="G50" s="292">
        <f t="shared" si="9"/>
        <v>40</v>
      </c>
    </row>
  </sheetData>
  <mergeCells count="8">
    <mergeCell ref="C3:E3"/>
    <mergeCell ref="F3:H3"/>
    <mergeCell ref="I3:K3"/>
    <mergeCell ref="F22:F23"/>
    <mergeCell ref="G22:G23"/>
    <mergeCell ref="C22:C23"/>
    <mergeCell ref="D22:D23"/>
    <mergeCell ref="E22:E2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B5:K17"/>
  <sheetViews>
    <sheetView zoomScaleNormal="100" workbookViewId="0">
      <selection activeCell="B2" sqref="B2"/>
    </sheetView>
  </sheetViews>
  <sheetFormatPr defaultRowHeight="15"/>
  <cols>
    <col min="2" max="2" width="22.7109375" customWidth="1"/>
    <col min="3" max="4" width="9.140625" style="5"/>
  </cols>
  <sheetData>
    <row r="5" spans="2:11">
      <c r="B5" s="47" t="s">
        <v>974</v>
      </c>
      <c r="C5" s="5" t="s">
        <v>134</v>
      </c>
      <c r="D5" s="5" t="s">
        <v>75</v>
      </c>
      <c r="E5" s="9">
        <v>12</v>
      </c>
    </row>
    <row r="6" spans="2:11">
      <c r="B6" s="47" t="s">
        <v>973</v>
      </c>
      <c r="C6" s="5" t="s">
        <v>74</v>
      </c>
      <c r="D6" s="5" t="s">
        <v>75</v>
      </c>
      <c r="E6" s="9">
        <v>8</v>
      </c>
    </row>
    <row r="7" spans="2:11" s="47" customFormat="1">
      <c r="B7" s="47" t="s">
        <v>988</v>
      </c>
      <c r="C7" s="5" t="s">
        <v>393</v>
      </c>
      <c r="D7" s="5" t="s">
        <v>75</v>
      </c>
      <c r="E7" s="9">
        <v>4</v>
      </c>
    </row>
    <row r="8" spans="2:11">
      <c r="B8" s="47" t="s">
        <v>976</v>
      </c>
      <c r="C8" s="5" t="s">
        <v>135</v>
      </c>
      <c r="D8" s="5" t="s">
        <v>977</v>
      </c>
      <c r="E8" s="9">
        <v>500</v>
      </c>
    </row>
    <row r="9" spans="2:11">
      <c r="B9" s="47" t="s">
        <v>978</v>
      </c>
      <c r="C9" s="330" t="s">
        <v>979</v>
      </c>
      <c r="D9" s="5" t="s">
        <v>980</v>
      </c>
      <c r="E9" s="32">
        <v>7336</v>
      </c>
    </row>
    <row r="10" spans="2:11">
      <c r="B10" s="47" t="s">
        <v>981</v>
      </c>
      <c r="C10" s="330" t="s">
        <v>982</v>
      </c>
      <c r="D10" s="5" t="s">
        <v>3</v>
      </c>
      <c r="E10" s="9">
        <v>0.82</v>
      </c>
    </row>
    <row r="11" spans="2:11">
      <c r="B11" s="47" t="s">
        <v>983</v>
      </c>
      <c r="C11" s="330" t="s">
        <v>984</v>
      </c>
      <c r="D11" s="5" t="s">
        <v>3</v>
      </c>
      <c r="E11" s="9">
        <v>0.85</v>
      </c>
      <c r="H11" s="47" t="s">
        <v>995</v>
      </c>
      <c r="I11">
        <v>1</v>
      </c>
      <c r="J11">
        <v>2</v>
      </c>
      <c r="K11">
        <v>3</v>
      </c>
    </row>
    <row r="12" spans="2:11">
      <c r="B12" s="47" t="s">
        <v>985</v>
      </c>
      <c r="C12" s="330" t="s">
        <v>6</v>
      </c>
      <c r="D12" s="5" t="s">
        <v>3</v>
      </c>
      <c r="E12" s="9">
        <f>K13</f>
        <v>0.47799999999999998</v>
      </c>
      <c r="H12" s="47" t="s">
        <v>996</v>
      </c>
      <c r="I12">
        <v>1</v>
      </c>
      <c r="J12">
        <v>1.25</v>
      </c>
      <c r="K12">
        <v>1.2</v>
      </c>
    </row>
    <row r="13" spans="2:11">
      <c r="B13" s="47" t="s">
        <v>986</v>
      </c>
      <c r="C13" s="330" t="s">
        <v>987</v>
      </c>
      <c r="D13" s="5" t="s">
        <v>3</v>
      </c>
      <c r="E13" s="2">
        <f>E5*E6/(E5+E6)/E7</f>
        <v>1.2</v>
      </c>
      <c r="H13" s="47" t="s">
        <v>997</v>
      </c>
      <c r="I13">
        <v>0.43</v>
      </c>
      <c r="J13">
        <v>0.49</v>
      </c>
      <c r="K13">
        <f>$I$14*K12+I15</f>
        <v>0.47799999999999998</v>
      </c>
    </row>
    <row r="14" spans="2:11">
      <c r="B14" s="47" t="s">
        <v>989</v>
      </c>
      <c r="C14" s="5" t="s">
        <v>991</v>
      </c>
      <c r="D14" s="5" t="s">
        <v>3</v>
      </c>
      <c r="E14" s="9">
        <v>0.7</v>
      </c>
      <c r="H14" s="47" t="s">
        <v>75</v>
      </c>
      <c r="I14">
        <f>(J13-I13)/(J12-I12)</f>
        <v>0.24</v>
      </c>
    </row>
    <row r="15" spans="2:11">
      <c r="B15" s="47" t="s">
        <v>990</v>
      </c>
      <c r="C15" s="5" t="s">
        <v>992</v>
      </c>
      <c r="D15" s="5" t="s">
        <v>3</v>
      </c>
      <c r="E15" s="9">
        <v>0.5</v>
      </c>
      <c r="H15" s="47" t="s">
        <v>66</v>
      </c>
      <c r="I15">
        <f>I13-I14*I12</f>
        <v>0.19</v>
      </c>
    </row>
    <row r="16" spans="2:11" ht="15.75" thickBot="1">
      <c r="B16" s="47" t="s">
        <v>994</v>
      </c>
      <c r="C16" s="5" t="s">
        <v>993</v>
      </c>
      <c r="D16" s="5" t="s">
        <v>3</v>
      </c>
      <c r="E16" s="331">
        <v>0.2</v>
      </c>
    </row>
    <row r="17" spans="2:5" ht="15.75" thickBot="1">
      <c r="B17" s="332" t="s">
        <v>972</v>
      </c>
      <c r="C17" s="333" t="s">
        <v>0</v>
      </c>
      <c r="D17" s="333" t="s">
        <v>975</v>
      </c>
      <c r="E17" s="334">
        <f>ROUNDUP(E5*E6*E8/(E9*E10*E11*E12),0)</f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20</vt:i4>
      </vt:variant>
      <vt:variant>
        <vt:lpstr>Intervalos com nome</vt:lpstr>
      </vt:variant>
      <vt:variant>
        <vt:i4>1</vt:i4>
      </vt:variant>
    </vt:vector>
  </HeadingPairs>
  <TitlesOfParts>
    <vt:vector size="21" baseType="lpstr">
      <vt:lpstr>Índice RTIEBT (Portaria 949)</vt:lpstr>
      <vt:lpstr>1.1_ligacao_bt</vt:lpstr>
      <vt:lpstr>11</vt:lpstr>
      <vt:lpstr>12.1</vt:lpstr>
      <vt:lpstr>12.2</vt:lpstr>
      <vt:lpstr>14</vt:lpstr>
      <vt:lpstr>07.1</vt:lpstr>
      <vt:lpstr>07.2</vt:lpstr>
      <vt:lpstr>07.3</vt:lpstr>
      <vt:lpstr>07.4</vt:lpstr>
      <vt:lpstr>airo4</vt:lpstr>
      <vt:lpstr>09</vt:lpstr>
      <vt:lpstr>ELT</vt:lpstr>
      <vt:lpstr>gerador</vt:lpstr>
      <vt:lpstr>pt_ex1</vt:lpstr>
      <vt:lpstr>pt_ex2</vt:lpstr>
      <vt:lpstr>pt_ex3</vt:lpstr>
      <vt:lpstr>terras</vt:lpstr>
      <vt:lpstr>tubosPcabos</vt:lpstr>
      <vt:lpstr>luminotecnia</vt:lpstr>
      <vt:lpstr>'07.3'!Área_de_Impressão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2006-10-20T13:27:00Z</dcterms:created>
  <dcterms:modified xsi:type="dcterms:W3CDTF">2017-06-07T20:02:11Z</dcterms:modified>
</cp:coreProperties>
</file>