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raquel\Documents\3ºano\PTPIEE\Relatório\CD\Anexos\"/>
    </mc:Choice>
  </mc:AlternateContent>
  <bookViews>
    <workbookView xWindow="0" yWindow="540" windowWidth="19440" windowHeight="7215" tabRatio="704" firstSheet="1" activeTab="1"/>
  </bookViews>
  <sheets>
    <sheet name="Balanço de Potências" sheetId="6" r:id="rId1"/>
    <sheet name="Sobrecarga e Queda de Tensão" sheetId="7" r:id="rId2"/>
    <sheet name="Curto-Circuito2" sheetId="4" r:id="rId3"/>
    <sheet name="Barramento" sheetId="5" r:id="rId4"/>
    <sheet name="Centro de cargas" sheetId="8" r:id="rId5"/>
    <sheet name="Centro de cargas oficina" sheetId="9" r:id="rId6"/>
  </sheets>
  <externalReferences>
    <externalReference r:id="rId7"/>
  </externalReferences>
  <calcPr calcId="152511"/>
</workbook>
</file>

<file path=xl/calcChain.xml><?xml version="1.0" encoding="utf-8"?>
<calcChain xmlns="http://schemas.openxmlformats.org/spreadsheetml/2006/main">
  <c r="G8" i="9" l="1"/>
  <c r="G5" i="9"/>
  <c r="N12" i="9" s="1"/>
  <c r="G2" i="9"/>
  <c r="L12" i="9" s="1"/>
  <c r="L12" i="8"/>
  <c r="G8" i="8"/>
  <c r="G5" i="8"/>
  <c r="N12" i="8" s="1"/>
  <c r="G2" i="8"/>
  <c r="W70" i="4" l="1"/>
  <c r="N70" i="4"/>
  <c r="M70" i="4"/>
  <c r="D70" i="4"/>
  <c r="L38" i="4"/>
  <c r="H38" i="4"/>
  <c r="K17" i="7"/>
  <c r="L17" i="7" s="1"/>
  <c r="J17" i="7"/>
  <c r="S17" i="7" s="1"/>
  <c r="H17" i="7"/>
  <c r="U17" i="7" s="1"/>
  <c r="V17" i="7" s="1"/>
  <c r="X17" i="7" s="1"/>
  <c r="W50" i="4"/>
  <c r="N50" i="4"/>
  <c r="M50" i="4"/>
  <c r="D50" i="4"/>
  <c r="W49" i="4"/>
  <c r="N49" i="4"/>
  <c r="M49" i="4"/>
  <c r="D49" i="4"/>
  <c r="L17" i="4"/>
  <c r="H17" i="4"/>
  <c r="L16" i="4"/>
  <c r="H16" i="4"/>
  <c r="W57" i="4"/>
  <c r="N57" i="4"/>
  <c r="M57" i="4"/>
  <c r="D57" i="4"/>
  <c r="L24" i="4"/>
  <c r="H24" i="4"/>
  <c r="W68" i="4"/>
  <c r="N68" i="4"/>
  <c r="M68" i="4"/>
  <c r="D68" i="4"/>
  <c r="L36" i="4"/>
  <c r="H36" i="4"/>
  <c r="Q17" i="7" l="1"/>
  <c r="T17" i="7" s="1"/>
  <c r="R17" i="7"/>
  <c r="W52" i="4"/>
  <c r="W53" i="4"/>
  <c r="W54" i="4"/>
  <c r="W55" i="4"/>
  <c r="W56" i="4"/>
  <c r="M52" i="4"/>
  <c r="M53" i="4"/>
  <c r="M54" i="4"/>
  <c r="M55" i="4"/>
  <c r="M56" i="4"/>
  <c r="F25" i="4"/>
  <c r="H25" i="4" s="1"/>
  <c r="F23" i="4"/>
  <c r="F22" i="4"/>
  <c r="N55" i="4" s="1"/>
  <c r="F21" i="4"/>
  <c r="F20" i="4"/>
  <c r="N53" i="4" s="1"/>
  <c r="F19" i="4"/>
  <c r="C20" i="7"/>
  <c r="C21" i="7"/>
  <c r="C22" i="7"/>
  <c r="C23" i="7"/>
  <c r="C24" i="7"/>
  <c r="C25" i="7"/>
  <c r="S30" i="7"/>
  <c r="T30" i="7" s="1"/>
  <c r="Q30" i="7"/>
  <c r="H30" i="7"/>
  <c r="U30" i="7" s="1"/>
  <c r="V30" i="7" s="1"/>
  <c r="X30" i="7" s="1"/>
  <c r="S29" i="7"/>
  <c r="T29" i="7" s="1"/>
  <c r="Q29" i="7"/>
  <c r="S28" i="7"/>
  <c r="Q28" i="7"/>
  <c r="T28" i="7" s="1"/>
  <c r="R30" i="7" l="1"/>
  <c r="L30" i="7"/>
  <c r="H22" i="4"/>
  <c r="H20" i="4"/>
  <c r="L25" i="4"/>
  <c r="L22" i="4"/>
  <c r="L20" i="4"/>
  <c r="D56" i="4"/>
  <c r="D54" i="4"/>
  <c r="D52" i="4"/>
  <c r="N56" i="4"/>
  <c r="N54" i="4"/>
  <c r="N52" i="4"/>
  <c r="H23" i="4"/>
  <c r="H21" i="4"/>
  <c r="H19" i="4"/>
  <c r="L23" i="4"/>
  <c r="L21" i="4"/>
  <c r="L19" i="4"/>
  <c r="D55" i="4"/>
  <c r="D53" i="4"/>
  <c r="E27" i="7"/>
  <c r="Q27" i="7"/>
  <c r="S27" i="7"/>
  <c r="D13" i="4"/>
  <c r="W46" i="4"/>
  <c r="K7" i="7"/>
  <c r="Q7" i="7" s="1"/>
  <c r="N132" i="6"/>
  <c r="M46" i="4"/>
  <c r="D15" i="4"/>
  <c r="D48" i="4" s="1"/>
  <c r="G7" i="6"/>
  <c r="M7" i="6" s="1"/>
  <c r="D29" i="7" s="1"/>
  <c r="H29" i="7" s="1"/>
  <c r="O48" i="4"/>
  <c r="E48" i="4"/>
  <c r="M15" i="4"/>
  <c r="I15" i="4"/>
  <c r="M14" i="4"/>
  <c r="N14" i="4" s="1"/>
  <c r="I14" i="4"/>
  <c r="J14" i="4" s="1"/>
  <c r="E47" i="4"/>
  <c r="F47" i="4" s="1"/>
  <c r="F45" i="4"/>
  <c r="D45" i="4" s="1"/>
  <c r="F44" i="4"/>
  <c r="E44" i="4" s="1"/>
  <c r="D44" i="4" s="1"/>
  <c r="M69" i="4"/>
  <c r="M67" i="4"/>
  <c r="M66" i="4"/>
  <c r="M65" i="4"/>
  <c r="M64" i="4"/>
  <c r="M63" i="4"/>
  <c r="M62" i="4"/>
  <c r="M61" i="4"/>
  <c r="M60" i="4"/>
  <c r="M59" i="4"/>
  <c r="M58" i="4"/>
  <c r="M51" i="4"/>
  <c r="D37" i="4"/>
  <c r="D35" i="4"/>
  <c r="D34" i="4"/>
  <c r="D33" i="4"/>
  <c r="D32" i="4"/>
  <c r="D31" i="4"/>
  <c r="D30" i="4"/>
  <c r="D29" i="4"/>
  <c r="D28" i="4"/>
  <c r="D27" i="4"/>
  <c r="D26" i="4"/>
  <c r="D18" i="4"/>
  <c r="O47" i="4"/>
  <c r="P47" i="4" s="1"/>
  <c r="P45" i="4"/>
  <c r="N45" i="4" s="1"/>
  <c r="P44" i="4"/>
  <c r="Q44" i="4" s="1"/>
  <c r="N12" i="4"/>
  <c r="L12" i="4" s="1"/>
  <c r="J12" i="4"/>
  <c r="H12" i="4" s="1"/>
  <c r="N11" i="4"/>
  <c r="O11" i="4" s="1"/>
  <c r="J11" i="4"/>
  <c r="I11" i="4" s="1"/>
  <c r="H11" i="4" s="1"/>
  <c r="G44" i="4"/>
  <c r="H44" i="4" s="1"/>
  <c r="O44" i="4"/>
  <c r="N44" i="4" s="1"/>
  <c r="H15" i="4"/>
  <c r="M12" i="4"/>
  <c r="C6" i="7"/>
  <c r="F26" i="4" s="1"/>
  <c r="J25" i="7"/>
  <c r="S25" i="7" s="1"/>
  <c r="J24" i="7"/>
  <c r="S24" i="7" s="1"/>
  <c r="J23" i="7"/>
  <c r="S23" i="7" s="1"/>
  <c r="T23" i="7" s="1"/>
  <c r="J22" i="7"/>
  <c r="S22" i="7"/>
  <c r="J21" i="7"/>
  <c r="S21" i="7"/>
  <c r="T21" i="7" s="1"/>
  <c r="J20" i="7"/>
  <c r="S20" i="7"/>
  <c r="T20" i="7" s="1"/>
  <c r="J16" i="7"/>
  <c r="G37" i="4"/>
  <c r="J15" i="7"/>
  <c r="G35" i="4"/>
  <c r="J14" i="7"/>
  <c r="G34" i="4"/>
  <c r="J13" i="7"/>
  <c r="G33" i="4"/>
  <c r="J12" i="7"/>
  <c r="G32" i="4"/>
  <c r="J11" i="7"/>
  <c r="G31" i="4" s="1"/>
  <c r="J10" i="7"/>
  <c r="J9" i="7"/>
  <c r="G29" i="4" s="1"/>
  <c r="J8" i="7"/>
  <c r="J7" i="7"/>
  <c r="G27" i="4" s="1"/>
  <c r="J6" i="7"/>
  <c r="G26" i="4" s="1"/>
  <c r="J5" i="7"/>
  <c r="G18" i="4" s="1"/>
  <c r="J4" i="7"/>
  <c r="E25" i="7"/>
  <c r="E24" i="7"/>
  <c r="E23" i="7"/>
  <c r="E22" i="7"/>
  <c r="E21" i="7"/>
  <c r="E20" i="7"/>
  <c r="K25" i="7"/>
  <c r="Q25" i="7" s="1"/>
  <c r="K24" i="7"/>
  <c r="Q24" i="7" s="1"/>
  <c r="K23" i="7"/>
  <c r="Q23" i="7" s="1"/>
  <c r="K22" i="7"/>
  <c r="Q22" i="7" s="1"/>
  <c r="K21" i="7"/>
  <c r="Q21" i="7" s="1"/>
  <c r="K20" i="7"/>
  <c r="Q20" i="7" s="1"/>
  <c r="K16" i="7"/>
  <c r="Q16" i="7" s="1"/>
  <c r="C16" i="7"/>
  <c r="F37" i="4" s="1"/>
  <c r="N69" i="4" s="1"/>
  <c r="K15" i="7"/>
  <c r="C15" i="7"/>
  <c r="F35" i="4" s="1"/>
  <c r="K14" i="7"/>
  <c r="Q14" i="7" s="1"/>
  <c r="C14" i="7"/>
  <c r="F34" i="4" s="1"/>
  <c r="N66" i="4" s="1"/>
  <c r="K13" i="7"/>
  <c r="C13" i="7"/>
  <c r="F33" i="4" s="1"/>
  <c r="I33" i="4" s="1"/>
  <c r="K12" i="7"/>
  <c r="Q12" i="7" s="1"/>
  <c r="C12" i="7"/>
  <c r="F32" i="4" s="1"/>
  <c r="D64" i="4" s="1"/>
  <c r="K11" i="7"/>
  <c r="L11" i="7" s="1"/>
  <c r="C11" i="7"/>
  <c r="F31" i="4" s="1"/>
  <c r="D63" i="4" s="1"/>
  <c r="K10" i="7"/>
  <c r="C10" i="7"/>
  <c r="F30" i="4" s="1"/>
  <c r="D62" i="4" s="1"/>
  <c r="K9" i="7"/>
  <c r="Q9" i="7" s="1"/>
  <c r="C9" i="7"/>
  <c r="F29" i="4" s="1"/>
  <c r="K8" i="7"/>
  <c r="Q8" i="7" s="1"/>
  <c r="C8" i="7"/>
  <c r="F28" i="4" s="1"/>
  <c r="D60" i="4" s="1"/>
  <c r="C7" i="7"/>
  <c r="F27" i="4" s="1"/>
  <c r="K6" i="7"/>
  <c r="Q6" i="7" s="1"/>
  <c r="K5" i="7"/>
  <c r="Q5" i="7" s="1"/>
  <c r="C5" i="7"/>
  <c r="F18" i="4" s="1"/>
  <c r="K4" i="7"/>
  <c r="Q4" i="7" s="1"/>
  <c r="C4" i="7"/>
  <c r="F13" i="4" s="1"/>
  <c r="S6" i="7"/>
  <c r="T6" i="7" s="1"/>
  <c r="S11" i="7"/>
  <c r="S13" i="7"/>
  <c r="S5" i="7"/>
  <c r="S12" i="7"/>
  <c r="T12" i="7"/>
  <c r="S14" i="7"/>
  <c r="T14" i="7"/>
  <c r="L12" i="7"/>
  <c r="L9" i="7"/>
  <c r="L4" i="7"/>
  <c r="S7" i="7"/>
  <c r="S15" i="7"/>
  <c r="L8" i="7"/>
  <c r="L16" i="7"/>
  <c r="S16" i="7"/>
  <c r="T16" i="7" s="1"/>
  <c r="L5" i="7"/>
  <c r="Q11" i="7"/>
  <c r="T11" i="7" s="1"/>
  <c r="S9" i="7"/>
  <c r="T9" i="7" s="1"/>
  <c r="L6" i="7"/>
  <c r="L14" i="7"/>
  <c r="N112" i="6"/>
  <c r="G111" i="6"/>
  <c r="M111" i="6" s="1"/>
  <c r="N111" i="6" s="1"/>
  <c r="N114" i="6" s="1"/>
  <c r="H119" i="6" s="1"/>
  <c r="G110" i="6"/>
  <c r="M110" i="6"/>
  <c r="N110" i="6" s="1"/>
  <c r="N104" i="6"/>
  <c r="O104" i="6" s="1"/>
  <c r="O105" i="6" s="1"/>
  <c r="I131" i="6" s="1"/>
  <c r="G103" i="6"/>
  <c r="M103" i="6" s="1"/>
  <c r="N103" i="6" s="1"/>
  <c r="N105" i="6" s="1"/>
  <c r="H131" i="6" s="1"/>
  <c r="G102" i="6"/>
  <c r="M102" i="6"/>
  <c r="N96" i="6"/>
  <c r="N95" i="6"/>
  <c r="O95" i="6" s="1"/>
  <c r="G94" i="6"/>
  <c r="M94" i="6" s="1"/>
  <c r="N94" i="6" s="1"/>
  <c r="N97" i="6" s="1"/>
  <c r="H130" i="6" s="1"/>
  <c r="J130" i="6" s="1"/>
  <c r="E15" i="7" s="1"/>
  <c r="U15" i="7" s="1"/>
  <c r="V15" i="7" s="1"/>
  <c r="X15" i="7" s="1"/>
  <c r="G93" i="6"/>
  <c r="M93" i="6"/>
  <c r="N93" i="6" s="1"/>
  <c r="N87" i="6"/>
  <c r="O87" i="6" s="1"/>
  <c r="O88" i="6" s="1"/>
  <c r="I129" i="6" s="1"/>
  <c r="G86" i="6"/>
  <c r="M86" i="6" s="1"/>
  <c r="N86" i="6" s="1"/>
  <c r="G85" i="6"/>
  <c r="M85" i="6"/>
  <c r="N79" i="6"/>
  <c r="O79" i="6"/>
  <c r="O80" i="6" s="1"/>
  <c r="I128" i="6"/>
  <c r="G78" i="6"/>
  <c r="M78" i="6"/>
  <c r="N78" i="6" s="1"/>
  <c r="N80" i="6" s="1"/>
  <c r="H128" i="6" s="1"/>
  <c r="G77" i="6"/>
  <c r="M77" i="6"/>
  <c r="N77" i="6" s="1"/>
  <c r="N71" i="6"/>
  <c r="N63" i="6"/>
  <c r="O63" i="6"/>
  <c r="O64" i="6" s="1"/>
  <c r="I126" i="6"/>
  <c r="G70" i="6"/>
  <c r="M70" i="6"/>
  <c r="N70" i="6" s="1"/>
  <c r="G69" i="6"/>
  <c r="M69" i="6" s="1"/>
  <c r="N69" i="6"/>
  <c r="N72" i="6" s="1"/>
  <c r="H127" i="6" s="1"/>
  <c r="G62" i="6"/>
  <c r="M62" i="6"/>
  <c r="N62" i="6" s="1"/>
  <c r="G61" i="6"/>
  <c r="M61" i="6" s="1"/>
  <c r="N61" i="6"/>
  <c r="N64" i="6" s="1"/>
  <c r="H126" i="6" s="1"/>
  <c r="N54" i="6"/>
  <c r="O54" i="6"/>
  <c r="M54" i="6" s="1"/>
  <c r="G54" i="6" s="1"/>
  <c r="G53" i="6"/>
  <c r="M53" i="6"/>
  <c r="N53" i="6" s="1"/>
  <c r="G52" i="6"/>
  <c r="M52" i="6" s="1"/>
  <c r="N52" i="6"/>
  <c r="N46" i="6"/>
  <c r="O46" i="6"/>
  <c r="O47" i="6" s="1"/>
  <c r="I124" i="6" s="1"/>
  <c r="G45" i="6"/>
  <c r="M45" i="6"/>
  <c r="G44" i="6"/>
  <c r="M44" i="6"/>
  <c r="N44" i="6" s="1"/>
  <c r="N38" i="6"/>
  <c r="O38" i="6" s="1"/>
  <c r="O39" i="6" s="1"/>
  <c r="I123" i="6" s="1"/>
  <c r="G37" i="6"/>
  <c r="M37" i="6" s="1"/>
  <c r="N37" i="6" s="1"/>
  <c r="N39" i="6" s="1"/>
  <c r="H123" i="6" s="1"/>
  <c r="G36" i="6"/>
  <c r="M36" i="6"/>
  <c r="N36" i="6" s="1"/>
  <c r="G20" i="6"/>
  <c r="M20" i="6" s="1"/>
  <c r="N20" i="6" s="1"/>
  <c r="N23" i="6" s="1"/>
  <c r="H121" i="6" s="1"/>
  <c r="G6" i="6"/>
  <c r="M6" i="6"/>
  <c r="G21" i="6"/>
  <c r="M21" i="6" s="1"/>
  <c r="N21" i="6" s="1"/>
  <c r="N7" i="6"/>
  <c r="N113" i="6"/>
  <c r="O113" i="6"/>
  <c r="M113" i="6" s="1"/>
  <c r="J55" i="6"/>
  <c r="I55" i="6"/>
  <c r="N30" i="6"/>
  <c r="O30" i="6"/>
  <c r="O31" i="6" s="1"/>
  <c r="I122" i="6" s="1"/>
  <c r="G29" i="6"/>
  <c r="M29" i="6"/>
  <c r="N29" i="6" s="1"/>
  <c r="G28" i="6"/>
  <c r="M28" i="6" s="1"/>
  <c r="L22" i="6"/>
  <c r="N22" i="6" s="1"/>
  <c r="O22" i="6" s="1"/>
  <c r="N14" i="6"/>
  <c r="O14" i="6"/>
  <c r="N13" i="6"/>
  <c r="G13" i="6"/>
  <c r="N12" i="6"/>
  <c r="O12" i="6"/>
  <c r="M12" i="6" s="1"/>
  <c r="D23" i="7" s="1"/>
  <c r="H23" i="7" s="1"/>
  <c r="G12" i="6"/>
  <c r="N11" i="6"/>
  <c r="O11" i="6" s="1"/>
  <c r="M11" i="6" s="1"/>
  <c r="D22" i="7" s="1"/>
  <c r="H22" i="7" s="1"/>
  <c r="G11" i="6"/>
  <c r="N10" i="6"/>
  <c r="O10" i="6"/>
  <c r="M10" i="6" s="1"/>
  <c r="D21" i="7" s="1"/>
  <c r="H21" i="7" s="1"/>
  <c r="G10" i="6"/>
  <c r="N9" i="6"/>
  <c r="O9" i="6" s="1"/>
  <c r="G9" i="6"/>
  <c r="N8" i="6"/>
  <c r="O8" i="6"/>
  <c r="T7" i="7"/>
  <c r="O13" i="6"/>
  <c r="M13" i="6"/>
  <c r="D24" i="7" s="1"/>
  <c r="H24" i="7" s="1"/>
  <c r="M63" i="6"/>
  <c r="G63" i="6" s="1"/>
  <c r="M14" i="6"/>
  <c r="D25" i="7" s="1"/>
  <c r="H25" i="7" s="1"/>
  <c r="O96" i="6"/>
  <c r="O97" i="6"/>
  <c r="I130" i="6" s="1"/>
  <c r="M8" i="6"/>
  <c r="G8" i="6" s="1"/>
  <c r="O71" i="6"/>
  <c r="O72" i="6"/>
  <c r="I127" i="6" s="1"/>
  <c r="M79" i="6"/>
  <c r="G79" i="6" s="1"/>
  <c r="M104" i="6"/>
  <c r="G104" i="6" s="1"/>
  <c r="O112" i="6"/>
  <c r="O114" i="6" s="1"/>
  <c r="I119" i="6" s="1"/>
  <c r="L119" i="6" s="1"/>
  <c r="N102" i="6"/>
  <c r="M95" i="6"/>
  <c r="G95" i="6" s="1"/>
  <c r="N85" i="6"/>
  <c r="N88" i="6" s="1"/>
  <c r="H129" i="6" s="1"/>
  <c r="N45" i="6"/>
  <c r="N47" i="6" s="1"/>
  <c r="H124" i="6" s="1"/>
  <c r="N28" i="6"/>
  <c r="N31" i="6"/>
  <c r="H122" i="6" s="1"/>
  <c r="N55" i="6"/>
  <c r="M71" i="6"/>
  <c r="G71" i="6" s="1"/>
  <c r="M112" i="6"/>
  <c r="G112" i="6" s="1"/>
  <c r="M64" i="6"/>
  <c r="G126" i="6" s="1"/>
  <c r="D11" i="7" s="1"/>
  <c r="H11" i="7" s="1"/>
  <c r="M96" i="6"/>
  <c r="G96" i="6" s="1"/>
  <c r="D27" i="7" s="1"/>
  <c r="H27" i="7" s="1"/>
  <c r="L27" i="7" s="1"/>
  <c r="M80" i="6"/>
  <c r="G128" i="6" s="1"/>
  <c r="D13" i="7" s="1"/>
  <c r="H13" i="7" s="1"/>
  <c r="O55" i="6"/>
  <c r="M105" i="6"/>
  <c r="G131" i="6" s="1"/>
  <c r="D16" i="7" s="1"/>
  <c r="H16" i="7" s="1"/>
  <c r="N56" i="6"/>
  <c r="H125" i="6" s="1"/>
  <c r="M72" i="6"/>
  <c r="G127" i="6" s="1"/>
  <c r="D12" i="7" s="1"/>
  <c r="H12" i="7" s="1"/>
  <c r="M97" i="6"/>
  <c r="G130" i="6" s="1"/>
  <c r="D15" i="7" s="1"/>
  <c r="H15" i="7" s="1"/>
  <c r="M55" i="6"/>
  <c r="G55" i="6" s="1"/>
  <c r="M56" i="6"/>
  <c r="G125" i="6" s="1"/>
  <c r="D10" i="7" s="1"/>
  <c r="H10" i="7" s="1"/>
  <c r="D9" i="5" s="1"/>
  <c r="I9" i="5" s="1"/>
  <c r="W59" i="4"/>
  <c r="W60" i="4"/>
  <c r="W61" i="4"/>
  <c r="W62" i="4"/>
  <c r="W63" i="4"/>
  <c r="W64" i="4"/>
  <c r="W65" i="4"/>
  <c r="W66" i="4"/>
  <c r="W67" i="4"/>
  <c r="W69" i="4"/>
  <c r="W58" i="4"/>
  <c r="W51" i="4"/>
  <c r="K11" i="4"/>
  <c r="L6" i="4"/>
  <c r="E28" i="4"/>
  <c r="E29" i="4"/>
  <c r="E64" i="4"/>
  <c r="O67" i="4"/>
  <c r="I32" i="4"/>
  <c r="H34" i="4"/>
  <c r="J125" i="6" l="1"/>
  <c r="E10" i="7" s="1"/>
  <c r="U10" i="7" s="1"/>
  <c r="V10" i="7" s="1"/>
  <c r="X10" i="7" s="1"/>
  <c r="O23" i="6"/>
  <c r="I121" i="6" s="1"/>
  <c r="M22" i="6"/>
  <c r="G113" i="6"/>
  <c r="M114" i="6"/>
  <c r="G119" i="6" s="1"/>
  <c r="K12" i="4"/>
  <c r="P12" i="4" s="1"/>
  <c r="P11" i="4"/>
  <c r="Q11" i="4" s="1"/>
  <c r="D11" i="5"/>
  <c r="I11" i="5" s="1"/>
  <c r="R12" i="7"/>
  <c r="D15" i="5"/>
  <c r="I15" i="5" s="1"/>
  <c r="R16" i="7"/>
  <c r="D12" i="5"/>
  <c r="I12" i="5" s="1"/>
  <c r="D10" i="5"/>
  <c r="I10" i="5" s="1"/>
  <c r="R11" i="7"/>
  <c r="O15" i="6"/>
  <c r="I120" i="6" s="1"/>
  <c r="J126" i="6"/>
  <c r="E11" i="7" s="1"/>
  <c r="U11" i="7" s="1"/>
  <c r="V11" i="7" s="1"/>
  <c r="X11" i="7" s="1"/>
  <c r="J127" i="6"/>
  <c r="E12" i="7" s="1"/>
  <c r="U12" i="7" s="1"/>
  <c r="V12" i="7" s="1"/>
  <c r="X12" i="7" s="1"/>
  <c r="J128" i="6"/>
  <c r="E13" i="7" s="1"/>
  <c r="U13" i="7" s="1"/>
  <c r="V13" i="7" s="1"/>
  <c r="X13" i="7" s="1"/>
  <c r="J131" i="6"/>
  <c r="E16" i="7" s="1"/>
  <c r="U16" i="7" s="1"/>
  <c r="V16" i="7" s="1"/>
  <c r="X16" i="7" s="1"/>
  <c r="K119" i="6"/>
  <c r="J119" i="6"/>
  <c r="E4" i="7" s="1"/>
  <c r="D14" i="5"/>
  <c r="I14" i="5" s="1"/>
  <c r="G13" i="4"/>
  <c r="S4" i="7"/>
  <c r="G28" i="4"/>
  <c r="S8" i="7"/>
  <c r="T8" i="7" s="1"/>
  <c r="G30" i="4"/>
  <c r="S10" i="7"/>
  <c r="T22" i="7"/>
  <c r="R29" i="7"/>
  <c r="U29" i="7"/>
  <c r="V29" i="7" s="1"/>
  <c r="X29" i="7" s="1"/>
  <c r="L29" i="7"/>
  <c r="I34" i="4"/>
  <c r="M37" i="4"/>
  <c r="N65" i="4"/>
  <c r="O70" i="4"/>
  <c r="P70" i="4" s="1"/>
  <c r="E70" i="4"/>
  <c r="F70" i="4" s="1"/>
  <c r="M38" i="4"/>
  <c r="N38" i="4" s="1"/>
  <c r="I38" i="4"/>
  <c r="J38" i="4" s="1"/>
  <c r="O50" i="4"/>
  <c r="P50" i="4" s="1"/>
  <c r="D69" i="4"/>
  <c r="O56" i="6"/>
  <c r="I125" i="6" s="1"/>
  <c r="M38" i="6"/>
  <c r="M87" i="6"/>
  <c r="M46" i="6"/>
  <c r="M23" i="6"/>
  <c r="G121" i="6" s="1"/>
  <c r="D6" i="7" s="1"/>
  <c r="H6" i="7" s="1"/>
  <c r="D5" i="5" s="1"/>
  <c r="I5" i="5" s="1"/>
  <c r="M30" i="6"/>
  <c r="M9" i="6"/>
  <c r="D28" i="7"/>
  <c r="H28" i="7" s="1"/>
  <c r="N6" i="6"/>
  <c r="N15" i="6" s="1"/>
  <c r="H120" i="6" s="1"/>
  <c r="R6" i="7"/>
  <c r="L7" i="7"/>
  <c r="Q10" i="7"/>
  <c r="R10" i="7" s="1"/>
  <c r="L10" i="7"/>
  <c r="Q13" i="7"/>
  <c r="R13" i="7" s="1"/>
  <c r="L13" i="7"/>
  <c r="L15" i="7"/>
  <c r="Q15" i="7"/>
  <c r="T15" i="7" s="1"/>
  <c r="U25" i="7"/>
  <c r="V25" i="7" s="1"/>
  <c r="X25" i="7" s="1"/>
  <c r="T24" i="7"/>
  <c r="J15" i="4"/>
  <c r="L22" i="7"/>
  <c r="U22" i="7"/>
  <c r="V22" i="7" s="1"/>
  <c r="X22" i="7" s="1"/>
  <c r="H28" i="4"/>
  <c r="I31" i="4"/>
  <c r="O60" i="4"/>
  <c r="E62" i="4"/>
  <c r="E63" i="4"/>
  <c r="F63" i="4" s="1"/>
  <c r="N60" i="4"/>
  <c r="U27" i="7"/>
  <c r="V27" i="7" s="1"/>
  <c r="X27" i="7" s="1"/>
  <c r="R27" i="7"/>
  <c r="O54" i="4"/>
  <c r="E50" i="4"/>
  <c r="F50" i="4" s="1"/>
  <c r="M17" i="4"/>
  <c r="N17" i="4" s="1"/>
  <c r="M16" i="4"/>
  <c r="N16" i="4" s="1"/>
  <c r="O57" i="4"/>
  <c r="P57" i="4" s="1"/>
  <c r="M24" i="4"/>
  <c r="N24" i="4" s="1"/>
  <c r="M36" i="4"/>
  <c r="N36" i="4" s="1"/>
  <c r="O49" i="4"/>
  <c r="P49" i="4" s="1"/>
  <c r="E49" i="4"/>
  <c r="F49" i="4" s="1"/>
  <c r="I17" i="4"/>
  <c r="J17" i="4" s="1"/>
  <c r="I16" i="4"/>
  <c r="J16" i="4" s="1"/>
  <c r="E57" i="4"/>
  <c r="F57" i="4" s="1"/>
  <c r="I24" i="4"/>
  <c r="J24" i="4" s="1"/>
  <c r="O68" i="4"/>
  <c r="P68" i="4" s="1"/>
  <c r="E68" i="4"/>
  <c r="F68" i="4" s="1"/>
  <c r="I36" i="4"/>
  <c r="J36" i="4" s="1"/>
  <c r="E27" i="4"/>
  <c r="L27" i="4" s="1"/>
  <c r="M28" i="4"/>
  <c r="E61" i="4"/>
  <c r="M35" i="4"/>
  <c r="E26" i="4"/>
  <c r="N58" i="4" s="1"/>
  <c r="E30" i="4"/>
  <c r="H32" i="4"/>
  <c r="J32" i="4" s="1"/>
  <c r="L34" i="4"/>
  <c r="M34" i="4"/>
  <c r="M29" i="4"/>
  <c r="O66" i="4"/>
  <c r="L37" i="4"/>
  <c r="N37" i="4" s="1"/>
  <c r="O64" i="4"/>
  <c r="E66" i="4"/>
  <c r="E69" i="4"/>
  <c r="D66" i="4"/>
  <c r="L28" i="4"/>
  <c r="Q12" i="4"/>
  <c r="T12" i="4"/>
  <c r="F66" i="4"/>
  <c r="E60" i="4"/>
  <c r="D61" i="4"/>
  <c r="O63" i="4"/>
  <c r="E65" i="4"/>
  <c r="E67" i="4"/>
  <c r="M11" i="4"/>
  <c r="L11" i="4" s="1"/>
  <c r="L15" i="4"/>
  <c r="N15" i="4" s="1"/>
  <c r="O45" i="4"/>
  <c r="L30" i="4"/>
  <c r="N62" i="4"/>
  <c r="I12" i="4"/>
  <c r="H30" i="4"/>
  <c r="H29" i="4"/>
  <c r="H35" i="4"/>
  <c r="H37" i="4"/>
  <c r="I30" i="4"/>
  <c r="M31" i="4"/>
  <c r="I29" i="4"/>
  <c r="M30" i="4"/>
  <c r="N30" i="4" s="1"/>
  <c r="I28" i="4"/>
  <c r="I37" i="4"/>
  <c r="M33" i="4"/>
  <c r="I35" i="4"/>
  <c r="M32" i="4"/>
  <c r="O62" i="4"/>
  <c r="O65" i="4"/>
  <c r="O69" i="4"/>
  <c r="P69" i="4" s="1"/>
  <c r="O61" i="4"/>
  <c r="L32" i="4"/>
  <c r="N64" i="4"/>
  <c r="G45" i="4"/>
  <c r="H45" i="4" s="1"/>
  <c r="E45" i="4"/>
  <c r="F48" i="4"/>
  <c r="R11" i="4"/>
  <c r="O12" i="4"/>
  <c r="R12" i="4" s="1"/>
  <c r="Q45" i="4"/>
  <c r="R45" i="4" s="1"/>
  <c r="R44" i="4"/>
  <c r="E54" i="4"/>
  <c r="F54" i="4" s="1"/>
  <c r="M19" i="4"/>
  <c r="N19" i="4" s="1"/>
  <c r="M23" i="4"/>
  <c r="I22" i="4"/>
  <c r="J22" i="4" s="1"/>
  <c r="O55" i="4"/>
  <c r="P55" i="4" s="1"/>
  <c r="P54" i="4"/>
  <c r="E53" i="4"/>
  <c r="F53" i="4" s="1"/>
  <c r="M22" i="4"/>
  <c r="N22" i="4" s="1"/>
  <c r="I21" i="4"/>
  <c r="J21" i="4" s="1"/>
  <c r="O56" i="4"/>
  <c r="P56" i="4" s="1"/>
  <c r="O52" i="4"/>
  <c r="P52" i="4" s="1"/>
  <c r="E52" i="4"/>
  <c r="E56" i="4"/>
  <c r="M21" i="4"/>
  <c r="N21" i="4" s="1"/>
  <c r="I20" i="4"/>
  <c r="J20" i="4" s="1"/>
  <c r="O53" i="4"/>
  <c r="P53" i="4" s="1"/>
  <c r="E55" i="4"/>
  <c r="F55" i="4" s="1"/>
  <c r="M20" i="4"/>
  <c r="N20" i="4" s="1"/>
  <c r="M25" i="4"/>
  <c r="N25" i="4" s="1"/>
  <c r="I19" i="4"/>
  <c r="I23" i="4"/>
  <c r="J23" i="4" s="1"/>
  <c r="I25" i="4"/>
  <c r="J25" i="4" s="1"/>
  <c r="T4" i="7"/>
  <c r="T5" i="7"/>
  <c r="O59" i="4"/>
  <c r="H27" i="4"/>
  <c r="M26" i="4"/>
  <c r="I26" i="4"/>
  <c r="H26" i="4"/>
  <c r="D58" i="4"/>
  <c r="E58" i="4"/>
  <c r="O58" i="4"/>
  <c r="H13" i="4"/>
  <c r="M13" i="4"/>
  <c r="I13" i="4"/>
  <c r="J13" i="4" s="1"/>
  <c r="K13" i="4" s="1"/>
  <c r="K14" i="4" s="1"/>
  <c r="P14" i="4" s="1"/>
  <c r="E51" i="4"/>
  <c r="L18" i="4"/>
  <c r="M18" i="4"/>
  <c r="I18" i="4"/>
  <c r="T25" i="7"/>
  <c r="P66" i="4"/>
  <c r="F69" i="4"/>
  <c r="R22" i="7"/>
  <c r="R25" i="7"/>
  <c r="L25" i="7"/>
  <c r="F52" i="4"/>
  <c r="F56" i="4"/>
  <c r="L26" i="4"/>
  <c r="N32" i="4"/>
  <c r="D51" i="4"/>
  <c r="D59" i="4"/>
  <c r="N48" i="4"/>
  <c r="P48" i="4" s="1"/>
  <c r="E15" i="4"/>
  <c r="N23" i="4"/>
  <c r="J19" i="4"/>
  <c r="N46" i="4"/>
  <c r="J34" i="4"/>
  <c r="F60" i="4"/>
  <c r="N28" i="4"/>
  <c r="N34" i="4"/>
  <c r="F62" i="4"/>
  <c r="P65" i="4"/>
  <c r="F51" i="4"/>
  <c r="L29" i="4"/>
  <c r="N29" i="4" s="1"/>
  <c r="H31" i="4"/>
  <c r="J31" i="4" s="1"/>
  <c r="D65" i="4"/>
  <c r="D67" i="4"/>
  <c r="P13" i="4"/>
  <c r="N59" i="4"/>
  <c r="P59" i="4" s="1"/>
  <c r="N61" i="4"/>
  <c r="E31" i="4"/>
  <c r="N63" i="4" s="1"/>
  <c r="P63" i="4" s="1"/>
  <c r="H33" i="4"/>
  <c r="J33" i="4" s="1"/>
  <c r="H18" i="4"/>
  <c r="J18" i="4" s="1"/>
  <c r="L35" i="4"/>
  <c r="N35" i="4" s="1"/>
  <c r="M27" i="4"/>
  <c r="I27" i="4"/>
  <c r="L33" i="4"/>
  <c r="N33" i="4" s="1"/>
  <c r="O51" i="4"/>
  <c r="E46" i="4"/>
  <c r="E59" i="4"/>
  <c r="N67" i="4"/>
  <c r="P67" i="4" s="1"/>
  <c r="N51" i="4"/>
  <c r="P51" i="4" s="1"/>
  <c r="F64" i="4"/>
  <c r="L13" i="4"/>
  <c r="D46" i="4"/>
  <c r="F46" i="4" s="1"/>
  <c r="G46" i="4" s="1"/>
  <c r="G47" i="4" s="1"/>
  <c r="O46" i="4"/>
  <c r="R24" i="7"/>
  <c r="U24" i="7"/>
  <c r="V24" i="7" s="1"/>
  <c r="X24" i="7" s="1"/>
  <c r="L24" i="7"/>
  <c r="U21" i="7"/>
  <c r="V21" i="7" s="1"/>
  <c r="X21" i="7" s="1"/>
  <c r="L21" i="7"/>
  <c r="R21" i="7"/>
  <c r="U23" i="7"/>
  <c r="V23" i="7" s="1"/>
  <c r="X23" i="7" s="1"/>
  <c r="R23" i="7"/>
  <c r="L23" i="7"/>
  <c r="T27" i="7"/>
  <c r="P58" i="4" l="1"/>
  <c r="U28" i="7"/>
  <c r="V28" i="7" s="1"/>
  <c r="X28" i="7" s="1"/>
  <c r="L28" i="7"/>
  <c r="R28" i="7"/>
  <c r="G30" i="6"/>
  <c r="M31" i="6"/>
  <c r="G122" i="6" s="1"/>
  <c r="M47" i="6"/>
  <c r="G124" i="6" s="1"/>
  <c r="G46" i="6"/>
  <c r="G38" i="6"/>
  <c r="M39" i="6"/>
  <c r="G123" i="6" s="1"/>
  <c r="T10" i="7"/>
  <c r="T13" i="7"/>
  <c r="M119" i="6"/>
  <c r="L120" i="6"/>
  <c r="L132" i="6" s="1"/>
  <c r="I132" i="6"/>
  <c r="N26" i="4"/>
  <c r="P60" i="4"/>
  <c r="J28" i="4"/>
  <c r="K120" i="6"/>
  <c r="M120" i="6" s="1"/>
  <c r="O120" i="6" s="1"/>
  <c r="H132" i="6"/>
  <c r="D20" i="7"/>
  <c r="H20" i="7" s="1"/>
  <c r="M15" i="6"/>
  <c r="G120" i="6" s="1"/>
  <c r="D5" i="7" s="1"/>
  <c r="H5" i="7" s="1"/>
  <c r="G87" i="6"/>
  <c r="M88" i="6"/>
  <c r="G129" i="6" s="1"/>
  <c r="J121" i="6"/>
  <c r="E6" i="7" s="1"/>
  <c r="U6" i="7" s="1"/>
  <c r="V6" i="7" s="1"/>
  <c r="X6" i="7" s="1"/>
  <c r="R15" i="7"/>
  <c r="G132" i="6"/>
  <c r="F61" i="4"/>
  <c r="P64" i="4"/>
  <c r="F67" i="4"/>
  <c r="T14" i="4"/>
  <c r="Q14" i="4"/>
  <c r="J35" i="4"/>
  <c r="J30" i="4"/>
  <c r="P62" i="4"/>
  <c r="F59" i="4"/>
  <c r="P61" i="4"/>
  <c r="F65" i="4"/>
  <c r="J37" i="4"/>
  <c r="J29" i="4"/>
  <c r="P46" i="4"/>
  <c r="Q46" i="4" s="1"/>
  <c r="Q47" i="4" s="1"/>
  <c r="N13" i="4"/>
  <c r="O13" i="4" s="1"/>
  <c r="R13" i="4" s="1"/>
  <c r="J27" i="4"/>
  <c r="N18" i="4"/>
  <c r="F58" i="4"/>
  <c r="J26" i="4"/>
  <c r="R46" i="4"/>
  <c r="T46" i="4" s="1"/>
  <c r="H46" i="4"/>
  <c r="J46" i="4" s="1"/>
  <c r="T13" i="4"/>
  <c r="Q13" i="4"/>
  <c r="E3" i="5"/>
  <c r="L31" i="4"/>
  <c r="N31" i="4" s="1"/>
  <c r="N27" i="4"/>
  <c r="K15" i="4"/>
  <c r="K38" i="4" s="1"/>
  <c r="P38" i="4" s="1"/>
  <c r="S46" i="4"/>
  <c r="V46" i="4" s="1"/>
  <c r="H47" i="4"/>
  <c r="G48" i="4"/>
  <c r="G70" i="4" s="1"/>
  <c r="H70" i="4" s="1"/>
  <c r="D14" i="7" l="1"/>
  <c r="H14" i="7" s="1"/>
  <c r="J129" i="6"/>
  <c r="E14" i="7" s="1"/>
  <c r="U14" i="7" s="1"/>
  <c r="V14" i="7" s="1"/>
  <c r="X14" i="7" s="1"/>
  <c r="D4" i="5"/>
  <c r="I4" i="5" s="1"/>
  <c r="R5" i="7"/>
  <c r="J132" i="6"/>
  <c r="O119" i="6"/>
  <c r="O132" i="6" s="1"/>
  <c r="D4" i="7" s="1"/>
  <c r="H4" i="7" s="1"/>
  <c r="M132" i="6"/>
  <c r="D8" i="7"/>
  <c r="H8" i="7" s="1"/>
  <c r="J123" i="6"/>
  <c r="E8" i="7" s="1"/>
  <c r="D7" i="7"/>
  <c r="H7" i="7" s="1"/>
  <c r="J122" i="6"/>
  <c r="E7" i="7" s="1"/>
  <c r="L20" i="7"/>
  <c r="R20" i="7"/>
  <c r="U20" i="7"/>
  <c r="V20" i="7" s="1"/>
  <c r="X20" i="7" s="1"/>
  <c r="J120" i="6"/>
  <c r="E5" i="7" s="1"/>
  <c r="U5" i="7" s="1"/>
  <c r="V5" i="7" s="1"/>
  <c r="X5" i="7" s="1"/>
  <c r="K132" i="6"/>
  <c r="D9" i="7"/>
  <c r="H9" i="7" s="1"/>
  <c r="J124" i="6"/>
  <c r="E9" i="7" s="1"/>
  <c r="U9" i="7" s="1"/>
  <c r="V9" i="7" s="1"/>
  <c r="X9" i="7" s="1"/>
  <c r="T38" i="4"/>
  <c r="Q38" i="4"/>
  <c r="J70" i="4"/>
  <c r="I70" i="4"/>
  <c r="L70" i="4" s="1"/>
  <c r="I46" i="4"/>
  <c r="L46" i="4" s="1"/>
  <c r="G50" i="4"/>
  <c r="H50" i="4" s="1"/>
  <c r="G49" i="4"/>
  <c r="H49" i="4" s="1"/>
  <c r="K17" i="4"/>
  <c r="P17" i="4" s="1"/>
  <c r="K16" i="4"/>
  <c r="P16" i="4" s="1"/>
  <c r="O14" i="4"/>
  <c r="K28" i="4"/>
  <c r="P28" i="4" s="1"/>
  <c r="E7" i="5" s="1"/>
  <c r="K24" i="4"/>
  <c r="P24" i="4" s="1"/>
  <c r="K33" i="4"/>
  <c r="P33" i="4" s="1"/>
  <c r="Q33" i="4" s="1"/>
  <c r="K26" i="4"/>
  <c r="P26" i="4" s="1"/>
  <c r="E5" i="5" s="1"/>
  <c r="K32" i="4"/>
  <c r="P32" i="4" s="1"/>
  <c r="T32" i="4" s="1"/>
  <c r="Q48" i="4"/>
  <c r="Q54" i="4" s="1"/>
  <c r="R54" i="4" s="1"/>
  <c r="R47" i="4"/>
  <c r="K29" i="4"/>
  <c r="P29" i="4" s="1"/>
  <c r="Q29" i="4" s="1"/>
  <c r="K30" i="4"/>
  <c r="P30" i="4" s="1"/>
  <c r="Q30" i="4" s="1"/>
  <c r="G52" i="4"/>
  <c r="H52" i="4" s="1"/>
  <c r="I52" i="4" s="1"/>
  <c r="G54" i="4"/>
  <c r="H54" i="4" s="1"/>
  <c r="I54" i="4" s="1"/>
  <c r="G56" i="4"/>
  <c r="H56" i="4" s="1"/>
  <c r="I56" i="4" s="1"/>
  <c r="G53" i="4"/>
  <c r="H53" i="4" s="1"/>
  <c r="I53" i="4" s="1"/>
  <c r="G55" i="4"/>
  <c r="H55" i="4" s="1"/>
  <c r="Q53" i="4"/>
  <c r="R53" i="4" s="1"/>
  <c r="P15" i="4"/>
  <c r="T15" i="4" s="1"/>
  <c r="K20" i="4"/>
  <c r="P20" i="4" s="1"/>
  <c r="K22" i="4"/>
  <c r="P22" i="4" s="1"/>
  <c r="K25" i="4"/>
  <c r="P25" i="4" s="1"/>
  <c r="K21" i="4"/>
  <c r="P21" i="4" s="1"/>
  <c r="K23" i="4"/>
  <c r="P23" i="4" s="1"/>
  <c r="K18" i="4"/>
  <c r="K31" i="4"/>
  <c r="P31" i="4" s="1"/>
  <c r="R14" i="4"/>
  <c r="O15" i="4"/>
  <c r="O38" i="4" s="1"/>
  <c r="R38" i="4" s="1"/>
  <c r="K27" i="4"/>
  <c r="P27" i="4" s="1"/>
  <c r="Q27" i="4" s="1"/>
  <c r="K37" i="4"/>
  <c r="P37" i="4" s="1"/>
  <c r="Q37" i="4" s="1"/>
  <c r="K34" i="4"/>
  <c r="P34" i="4" s="1"/>
  <c r="Q34" i="4" s="1"/>
  <c r="K35" i="4"/>
  <c r="H48" i="4"/>
  <c r="G67" i="4"/>
  <c r="G63" i="4"/>
  <c r="H63" i="4" s="1"/>
  <c r="I63" i="4" s="1"/>
  <c r="G59" i="4"/>
  <c r="H59" i="4" s="1"/>
  <c r="I59" i="4" s="1"/>
  <c r="G69" i="4"/>
  <c r="H69" i="4" s="1"/>
  <c r="I69" i="4" s="1"/>
  <c r="G64" i="4"/>
  <c r="H64" i="4" s="1"/>
  <c r="I64" i="4" s="1"/>
  <c r="G65" i="4"/>
  <c r="H65" i="4" s="1"/>
  <c r="I65" i="4" s="1"/>
  <c r="G51" i="4"/>
  <c r="G66" i="4"/>
  <c r="H66" i="4" s="1"/>
  <c r="I66" i="4" s="1"/>
  <c r="G62" i="4"/>
  <c r="H62" i="4" s="1"/>
  <c r="I62" i="4" s="1"/>
  <c r="G58" i="4"/>
  <c r="H58" i="4" s="1"/>
  <c r="I58" i="4" s="1"/>
  <c r="G60" i="4"/>
  <c r="H60" i="4" s="1"/>
  <c r="I60" i="4" s="1"/>
  <c r="G61" i="4"/>
  <c r="H61" i="4" s="1"/>
  <c r="I61" i="4" s="1"/>
  <c r="E8" i="5"/>
  <c r="T37" i="4"/>
  <c r="Q61" i="4"/>
  <c r="R61" i="4" s="1"/>
  <c r="Q58" i="4"/>
  <c r="R58" i="4" s="1"/>
  <c r="Q64" i="4"/>
  <c r="R64" i="4" s="1"/>
  <c r="Q66" i="4"/>
  <c r="R66" i="4" s="1"/>
  <c r="Q67" i="4"/>
  <c r="R67" i="4" s="1"/>
  <c r="Q59" i="4"/>
  <c r="R59" i="4" s="1"/>
  <c r="Q26" i="4"/>
  <c r="T26" i="4"/>
  <c r="Q28" i="4"/>
  <c r="T28" i="4"/>
  <c r="T30" i="4"/>
  <c r="Q32" i="4"/>
  <c r="E11" i="5"/>
  <c r="E12" i="5"/>
  <c r="Q31" i="4"/>
  <c r="E10" i="5"/>
  <c r="T31" i="4"/>
  <c r="D6" i="5" l="1"/>
  <c r="I6" i="5" s="1"/>
  <c r="R7" i="7"/>
  <c r="D7" i="5"/>
  <c r="I7" i="5" s="1"/>
  <c r="R8" i="7"/>
  <c r="D3" i="5"/>
  <c r="I3" i="5" s="1"/>
  <c r="R4" i="7"/>
  <c r="U4" i="7"/>
  <c r="V4" i="7" s="1"/>
  <c r="X4" i="7" s="1"/>
  <c r="D8" i="5"/>
  <c r="I8" i="5" s="1"/>
  <c r="R9" i="7"/>
  <c r="U7" i="7"/>
  <c r="V7" i="7" s="1"/>
  <c r="X7" i="7" s="1"/>
  <c r="U8" i="7"/>
  <c r="V8" i="7" s="1"/>
  <c r="X8" i="7" s="1"/>
  <c r="D13" i="5"/>
  <c r="I13" i="5" s="1"/>
  <c r="R14" i="7"/>
  <c r="Q50" i="4"/>
  <c r="R50" i="4" s="1"/>
  <c r="S50" i="4" s="1"/>
  <c r="V50" i="4" s="1"/>
  <c r="Q70" i="4"/>
  <c r="R70" i="4" s="1"/>
  <c r="T33" i="4"/>
  <c r="E9" i="5"/>
  <c r="Q15" i="4"/>
  <c r="T50" i="4"/>
  <c r="J50" i="4"/>
  <c r="I50" i="4"/>
  <c r="L50" i="4" s="1"/>
  <c r="I55" i="4"/>
  <c r="J55" i="4"/>
  <c r="Q68" i="4"/>
  <c r="R68" i="4" s="1"/>
  <c r="Q49" i="4"/>
  <c r="R49" i="4" s="1"/>
  <c r="I49" i="4"/>
  <c r="L49" i="4" s="1"/>
  <c r="J49" i="4"/>
  <c r="O24" i="4"/>
  <c r="R24" i="4" s="1"/>
  <c r="O16" i="4"/>
  <c r="R16" i="4" s="1"/>
  <c r="O17" i="4"/>
  <c r="R17" i="4" s="1"/>
  <c r="T17" i="4"/>
  <c r="Q17" i="4"/>
  <c r="Q16" i="4"/>
  <c r="T16" i="4"/>
  <c r="H51" i="4"/>
  <c r="I51" i="4" s="1"/>
  <c r="L51" i="4" s="1"/>
  <c r="G57" i="4"/>
  <c r="H57" i="4" s="1"/>
  <c r="I57" i="4" s="1"/>
  <c r="T24" i="4"/>
  <c r="Q24" i="4"/>
  <c r="R48" i="4"/>
  <c r="Q63" i="4"/>
  <c r="R63" i="4" s="1"/>
  <c r="Q62" i="4"/>
  <c r="R62" i="4" s="1"/>
  <c r="T62" i="4" s="1"/>
  <c r="Q60" i="4"/>
  <c r="R60" i="4" s="1"/>
  <c r="Q69" i="4"/>
  <c r="R69" i="4" s="1"/>
  <c r="S69" i="4" s="1"/>
  <c r="V69" i="4" s="1"/>
  <c r="Q51" i="4"/>
  <c r="Q65" i="4"/>
  <c r="R65" i="4" s="1"/>
  <c r="T65" i="4" s="1"/>
  <c r="T29" i="4"/>
  <c r="Q55" i="4"/>
  <c r="R55" i="4" s="1"/>
  <c r="S55" i="4" s="1"/>
  <c r="V55" i="4" s="1"/>
  <c r="Q56" i="4"/>
  <c r="R56" i="4" s="1"/>
  <c r="S56" i="4" s="1"/>
  <c r="V56" i="4" s="1"/>
  <c r="Q52" i="4"/>
  <c r="R52" i="4" s="1"/>
  <c r="S52" i="4" s="1"/>
  <c r="V52" i="4" s="1"/>
  <c r="H67" i="4"/>
  <c r="I67" i="4" s="1"/>
  <c r="G68" i="4"/>
  <c r="H68" i="4" s="1"/>
  <c r="I68" i="4" s="1"/>
  <c r="P35" i="4"/>
  <c r="T35" i="4" s="1"/>
  <c r="K36" i="4"/>
  <c r="P36" i="4" s="1"/>
  <c r="T36" i="4" s="1"/>
  <c r="S68" i="4"/>
  <c r="V68" i="4" s="1"/>
  <c r="T68" i="4"/>
  <c r="P18" i="4"/>
  <c r="Q18" i="4" s="1"/>
  <c r="K19" i="4"/>
  <c r="P19" i="4" s="1"/>
  <c r="Q19" i="4" s="1"/>
  <c r="T18" i="4"/>
  <c r="T53" i="4"/>
  <c r="S53" i="4"/>
  <c r="V53" i="4" s="1"/>
  <c r="S54" i="4"/>
  <c r="V54" i="4" s="1"/>
  <c r="T54" i="4"/>
  <c r="L55" i="4"/>
  <c r="L56" i="4"/>
  <c r="J56" i="4"/>
  <c r="L52" i="4"/>
  <c r="J52" i="4"/>
  <c r="T34" i="4"/>
  <c r="T27" i="4"/>
  <c r="T55" i="4"/>
  <c r="T56" i="4"/>
  <c r="T52" i="4"/>
  <c r="J53" i="4"/>
  <c r="L53" i="4"/>
  <c r="L54" i="4"/>
  <c r="J54" i="4"/>
  <c r="O20" i="4"/>
  <c r="R20" i="4" s="1"/>
  <c r="O22" i="4"/>
  <c r="R22" i="4" s="1"/>
  <c r="O25" i="4"/>
  <c r="R25" i="4" s="1"/>
  <c r="O21" i="4"/>
  <c r="R21" i="4" s="1"/>
  <c r="O23" i="4"/>
  <c r="R23" i="4" s="1"/>
  <c r="T23" i="4"/>
  <c r="Q23" i="4"/>
  <c r="T19" i="4"/>
  <c r="T22" i="4"/>
  <c r="Q22" i="4"/>
  <c r="E13" i="5"/>
  <c r="E6" i="5"/>
  <c r="E4" i="5"/>
  <c r="T21" i="4"/>
  <c r="Q21" i="4"/>
  <c r="T25" i="4"/>
  <c r="Q25" i="4"/>
  <c r="T20" i="4"/>
  <c r="Q20" i="4"/>
  <c r="E15" i="5"/>
  <c r="R15" i="4"/>
  <c r="O18" i="4"/>
  <c r="O28" i="4"/>
  <c r="R28" i="4" s="1"/>
  <c r="O29" i="4"/>
  <c r="R29" i="4" s="1"/>
  <c r="O35" i="4"/>
  <c r="O30" i="4"/>
  <c r="R30" i="4" s="1"/>
  <c r="O26" i="4"/>
  <c r="R26" i="4" s="1"/>
  <c r="O33" i="4"/>
  <c r="R33" i="4" s="1"/>
  <c r="O37" i="4"/>
  <c r="R37" i="4" s="1"/>
  <c r="O31" i="4"/>
  <c r="R31" i="4" s="1"/>
  <c r="O34" i="4"/>
  <c r="R34" i="4" s="1"/>
  <c r="O27" i="4"/>
  <c r="R27" i="4" s="1"/>
  <c r="O32" i="4"/>
  <c r="R32" i="4" s="1"/>
  <c r="S59" i="4"/>
  <c r="V59" i="4" s="1"/>
  <c r="T59" i="4"/>
  <c r="S67" i="4"/>
  <c r="V67" i="4" s="1"/>
  <c r="T67" i="4"/>
  <c r="T66" i="4"/>
  <c r="S66" i="4"/>
  <c r="V66" i="4" s="1"/>
  <c r="T64" i="4"/>
  <c r="S64" i="4"/>
  <c r="V64" i="4" s="1"/>
  <c r="S58" i="4"/>
  <c r="V58" i="4" s="1"/>
  <c r="T58" i="4"/>
  <c r="S61" i="4"/>
  <c r="V61" i="4" s="1"/>
  <c r="T61" i="4"/>
  <c r="L61" i="4"/>
  <c r="J61" i="4"/>
  <c r="L58" i="4"/>
  <c r="J58" i="4"/>
  <c r="L66" i="4"/>
  <c r="J66" i="4"/>
  <c r="L65" i="4"/>
  <c r="J65" i="4"/>
  <c r="L69" i="4"/>
  <c r="J69" i="4"/>
  <c r="L63" i="4"/>
  <c r="J63" i="4"/>
  <c r="T63" i="4"/>
  <c r="S63" i="4"/>
  <c r="V63" i="4" s="1"/>
  <c r="S62" i="4"/>
  <c r="V62" i="4" s="1"/>
  <c r="T60" i="4"/>
  <c r="S60" i="4"/>
  <c r="V60" i="4" s="1"/>
  <c r="T69" i="4"/>
  <c r="S65" i="4"/>
  <c r="V65" i="4" s="1"/>
  <c r="L60" i="4"/>
  <c r="J60" i="4"/>
  <c r="L62" i="4"/>
  <c r="J62" i="4"/>
  <c r="J51" i="4"/>
  <c r="L64" i="4"/>
  <c r="J64" i="4"/>
  <c r="L59" i="4"/>
  <c r="J59" i="4"/>
  <c r="L67" i="4"/>
  <c r="J67" i="4"/>
  <c r="S70" i="4" l="1"/>
  <c r="V70" i="4" s="1"/>
  <c r="T70" i="4"/>
  <c r="Q36" i="4"/>
  <c r="T49" i="4"/>
  <c r="S49" i="4"/>
  <c r="V49" i="4" s="1"/>
  <c r="R51" i="4"/>
  <c r="Q57" i="4"/>
  <c r="R57" i="4" s="1"/>
  <c r="L57" i="4"/>
  <c r="J57" i="4"/>
  <c r="R18" i="4"/>
  <c r="O19" i="4"/>
  <c r="R19" i="4" s="1"/>
  <c r="Q35" i="4"/>
  <c r="E14" i="5"/>
  <c r="R35" i="4"/>
  <c r="O36" i="4"/>
  <c r="R36" i="4" s="1"/>
  <c r="J68" i="4"/>
  <c r="L68" i="4"/>
  <c r="S51" i="4" l="1"/>
  <c r="V51" i="4" s="1"/>
  <c r="T51" i="4"/>
  <c r="S57" i="4"/>
  <c r="V57" i="4" s="1"/>
  <c r="T57" i="4"/>
</calcChain>
</file>

<file path=xl/sharedStrings.xml><?xml version="1.0" encoding="utf-8"?>
<sst xmlns="http://schemas.openxmlformats.org/spreadsheetml/2006/main" count="796" uniqueCount="287">
  <si>
    <t>Nº Equip</t>
  </si>
  <si>
    <t>NºCirc</t>
  </si>
  <si>
    <t>Nº Máq</t>
  </si>
  <si>
    <t>Descrição do equipamento</t>
  </si>
  <si>
    <t>Tomadas Trifásicas</t>
  </si>
  <si>
    <t>Iluminação</t>
  </si>
  <si>
    <t>ku</t>
  </si>
  <si>
    <t>ks</t>
  </si>
  <si>
    <t>P (kW)</t>
  </si>
  <si>
    <t>Tomadas Monofásicas</t>
  </si>
  <si>
    <t>Compressor Hydrovane 705</t>
  </si>
  <si>
    <t>ESG-618</t>
  </si>
  <si>
    <t>Microcut 8371</t>
  </si>
  <si>
    <t>Microcut 1500</t>
  </si>
  <si>
    <t>Microcut 1440E</t>
  </si>
  <si>
    <t>Microcut 5600B</t>
  </si>
  <si>
    <t xml:space="preserve">CNC </t>
  </si>
  <si>
    <t>Autotransformador</t>
  </si>
  <si>
    <t>Iluminação exterior</t>
  </si>
  <si>
    <t>Local</t>
  </si>
  <si>
    <t>Distância (m)</t>
  </si>
  <si>
    <t>Ib (A)</t>
  </si>
  <si>
    <t>In (A)</t>
  </si>
  <si>
    <t>Iz' (A)</t>
  </si>
  <si>
    <r>
      <t>Secção (mm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</si>
  <si>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Iz_min (A)</t>
  </si>
  <si>
    <t>Queda de Tensão (V)</t>
  </si>
  <si>
    <t>Queda de Tensão %</t>
  </si>
  <si>
    <r>
      <t>Ib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In</t>
    </r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Iz</t>
    </r>
  </si>
  <si>
    <t>Transformador</t>
  </si>
  <si>
    <t>S</t>
  </si>
  <si>
    <t>ucc</t>
  </si>
  <si>
    <t>Cabo</t>
  </si>
  <si>
    <t>Disjuntor</t>
  </si>
  <si>
    <t>m</t>
  </si>
  <si>
    <t>cmáx</t>
  </si>
  <si>
    <t>cmin</t>
  </si>
  <si>
    <t>Un</t>
  </si>
  <si>
    <t>V</t>
  </si>
  <si>
    <t>Localização</t>
  </si>
  <si>
    <t>Método de instalação</t>
  </si>
  <si>
    <t>Condutores isolados em condutas circulares embedidas nos elementos da construção, alvenaria</t>
  </si>
  <si>
    <t>Ref</t>
  </si>
  <si>
    <t>D</t>
  </si>
  <si>
    <t>B</t>
  </si>
  <si>
    <t>Proteção</t>
  </si>
  <si>
    <t>Terminais do Transformador</t>
  </si>
  <si>
    <t>Rede a montante</t>
  </si>
  <si>
    <t>Barramento</t>
  </si>
  <si>
    <t>Condutor</t>
  </si>
  <si>
    <t>Ib</t>
  </si>
  <si>
    <t>Quadro</t>
  </si>
  <si>
    <t>IK3max</t>
  </si>
  <si>
    <t>Coeficiente de temperatura</t>
  </si>
  <si>
    <t>IP</t>
  </si>
  <si>
    <t>Iz_min</t>
  </si>
  <si>
    <t>Barramento (mm2)</t>
  </si>
  <si>
    <t xml:space="preserve">I suportado pelo barramento </t>
  </si>
  <si>
    <t>Q.G.1</t>
  </si>
  <si>
    <t>Q.G.2</t>
  </si>
  <si>
    <t>Q.G.3</t>
  </si>
  <si>
    <t>Q.G.4</t>
  </si>
  <si>
    <t>Q.G.5</t>
  </si>
  <si>
    <t>Q.G.6</t>
  </si>
  <si>
    <t>Q.G.7</t>
  </si>
  <si>
    <t>Q.G.8</t>
  </si>
  <si>
    <t>Q.G.9</t>
  </si>
  <si>
    <t>Q.G.10</t>
  </si>
  <si>
    <t>Q.G.11</t>
  </si>
  <si>
    <t>Q.G.12</t>
  </si>
  <si>
    <t>Temperatura ambiente (ºc)</t>
  </si>
  <si>
    <t>Multicondutores, condutas circulares embebidos em elementos da construção</t>
  </si>
  <si>
    <t>A2</t>
  </si>
  <si>
    <t>Fatores de Correção</t>
  </si>
  <si>
    <t>Fatores de correção</t>
  </si>
  <si>
    <t>Carga QP1</t>
  </si>
  <si>
    <t>S (kVA)</t>
  </si>
  <si>
    <t>BALANÇO DE POTÊNCIA</t>
  </si>
  <si>
    <t>FP</t>
  </si>
  <si>
    <t>ke</t>
  </si>
  <si>
    <t>ko</t>
  </si>
  <si>
    <t>Sref (kVA)</t>
  </si>
  <si>
    <t>Q (kvar)</t>
  </si>
  <si>
    <t>QP 1</t>
  </si>
  <si>
    <t>QP 2</t>
  </si>
  <si>
    <t>QP 3</t>
  </si>
  <si>
    <t>QP 4</t>
  </si>
  <si>
    <t>QP 5</t>
  </si>
  <si>
    <t>QP 6</t>
  </si>
  <si>
    <t>QP 7</t>
  </si>
  <si>
    <t>QP 8</t>
  </si>
  <si>
    <t>QP 9</t>
  </si>
  <si>
    <t>QP 10</t>
  </si>
  <si>
    <t>QP 11</t>
  </si>
  <si>
    <t>QP 12</t>
  </si>
  <si>
    <t>(kW)</t>
  </si>
  <si>
    <t>P</t>
  </si>
  <si>
    <t>(kvar)</t>
  </si>
  <si>
    <t>Q</t>
  </si>
  <si>
    <t>Qparcial</t>
  </si>
  <si>
    <t>Pparcial</t>
  </si>
  <si>
    <t>TOTAL</t>
  </si>
  <si>
    <t>(kVA)</t>
  </si>
  <si>
    <t>Designação do cabo</t>
  </si>
  <si>
    <t>Iz</t>
  </si>
  <si>
    <r>
      <t xml:space="preserve">Ib </t>
    </r>
    <r>
      <rPr>
        <sz val="11"/>
        <color theme="1"/>
        <rFont val="Calibri"/>
        <family val="2"/>
      </rPr>
      <t xml:space="preserve">≤ </t>
    </r>
    <r>
      <rPr>
        <sz val="11"/>
        <color theme="1"/>
        <rFont val="Calibri"/>
        <family val="2"/>
        <scheme val="minor"/>
      </rPr>
      <t xml:space="preserve">Ir </t>
    </r>
    <r>
      <rPr>
        <sz val="11"/>
        <color theme="1"/>
        <rFont val="Calibri"/>
        <family val="2"/>
      </rPr>
      <t xml:space="preserve">≤ </t>
    </r>
    <r>
      <rPr>
        <sz val="11"/>
        <color theme="1"/>
        <rFont val="Calibri"/>
        <family val="2"/>
        <scheme val="minor"/>
      </rPr>
      <t>Iz</t>
    </r>
  </si>
  <si>
    <t>Ir (A)</t>
  </si>
  <si>
    <t>I2 (A)</t>
  </si>
  <si>
    <r>
      <t xml:space="preserve">I2 </t>
    </r>
    <r>
      <rPr>
        <sz val="11"/>
        <color theme="1"/>
        <rFont val="Symbol"/>
        <family val="1"/>
        <charset val="2"/>
      </rPr>
      <t xml:space="preserve"> £</t>
    </r>
    <r>
      <rPr>
        <sz val="9.9"/>
        <color theme="1"/>
        <rFont val="Calibri"/>
        <family val="2"/>
      </rPr>
      <t xml:space="preserve"> 1,45.Iz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</si>
  <si>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u &lt;= 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u.max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</si>
  <si>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u.max (%)</t>
    </r>
  </si>
  <si>
    <t>Sf
(mm2)</t>
  </si>
  <si>
    <t>Sn
(mm2)</t>
  </si>
  <si>
    <t>L
(m)</t>
  </si>
  <si>
    <t>Ik3.max
(kA)</t>
  </si>
  <si>
    <t>Ik1.max
(kA)</t>
  </si>
  <si>
    <r>
      <t>R3.min
(m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)</t>
    </r>
  </si>
  <si>
    <r>
      <t>X3.min
(m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)</t>
    </r>
  </si>
  <si>
    <r>
      <t>Z3.min
(m</t>
    </r>
    <r>
      <rPr>
        <sz val="11"/>
        <color theme="1"/>
        <rFont val="Symbol"/>
        <family val="1"/>
        <charset val="2"/>
      </rPr>
      <t>W)</t>
    </r>
  </si>
  <si>
    <t>k (PVC; cu)</t>
  </si>
  <si>
    <t>k (XLPE; cu)</t>
  </si>
  <si>
    <t>ρ.cu.max</t>
  </si>
  <si>
    <t>ρ.al.max</t>
  </si>
  <si>
    <t>ρ.cu.min</t>
  </si>
  <si>
    <t>ρ.al.min</t>
  </si>
  <si>
    <r>
      <t>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/m</t>
    </r>
  </si>
  <si>
    <r>
      <t>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/polo</t>
    </r>
  </si>
  <si>
    <r>
      <t>Z3.acum
(m</t>
    </r>
    <r>
      <rPr>
        <sz val="11"/>
        <color theme="1"/>
        <rFont val="Symbol"/>
        <family val="1"/>
        <charset val="2"/>
      </rPr>
      <t>W)</t>
    </r>
  </si>
  <si>
    <t>Ik2.max
(kA)</t>
  </si>
  <si>
    <r>
      <t>R1.min
(m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)</t>
    </r>
  </si>
  <si>
    <r>
      <t>X1.min
(m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)</t>
    </r>
  </si>
  <si>
    <r>
      <t>Z1.min
(m</t>
    </r>
    <r>
      <rPr>
        <sz val="11"/>
        <color theme="1"/>
        <rFont val="Symbol"/>
        <family val="1"/>
        <charset val="2"/>
      </rPr>
      <t>W)</t>
    </r>
  </si>
  <si>
    <r>
      <t>Z1.acum
(m</t>
    </r>
    <r>
      <rPr>
        <sz val="11"/>
        <color theme="1"/>
        <rFont val="Symbol"/>
        <family val="1"/>
        <charset val="2"/>
      </rPr>
      <t>W)</t>
    </r>
  </si>
  <si>
    <r>
      <t>R1.max
(m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)</t>
    </r>
  </si>
  <si>
    <r>
      <t>X1.max
(m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)</t>
    </r>
  </si>
  <si>
    <r>
      <t>Z1.max
(m</t>
    </r>
    <r>
      <rPr>
        <sz val="11"/>
        <color theme="1"/>
        <rFont val="Symbol"/>
        <family val="1"/>
        <charset val="2"/>
      </rPr>
      <t>W)</t>
    </r>
  </si>
  <si>
    <t>Ik1.min
(kA)</t>
  </si>
  <si>
    <r>
      <t>R2.max
(m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)</t>
    </r>
  </si>
  <si>
    <r>
      <t>X2.max
(m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)</t>
    </r>
  </si>
  <si>
    <r>
      <t>Z2.max
(m</t>
    </r>
    <r>
      <rPr>
        <sz val="11"/>
        <color theme="1"/>
        <rFont val="Symbol"/>
        <family val="1"/>
        <charset val="2"/>
      </rPr>
      <t>W)</t>
    </r>
  </si>
  <si>
    <r>
      <t>Z2.acum
(m</t>
    </r>
    <r>
      <rPr>
        <sz val="11"/>
        <color theme="1"/>
        <rFont val="Symbol"/>
        <family val="1"/>
        <charset val="2"/>
      </rPr>
      <t>W)</t>
    </r>
  </si>
  <si>
    <t>Ik2.min
(kA)</t>
  </si>
  <si>
    <t>tft.2
(s)</t>
  </si>
  <si>
    <t>tft.1
(s)</t>
  </si>
  <si>
    <t>Ir
(A)</t>
  </si>
  <si>
    <t>tc &lt; tft</t>
  </si>
  <si>
    <r>
      <t xml:space="preserve">tc </t>
    </r>
    <r>
      <rPr>
        <sz val="11"/>
        <color theme="1"/>
        <rFont val="Calibri"/>
        <family val="2"/>
      </rPr>
      <t xml:space="preserve">≤ </t>
    </r>
    <r>
      <rPr>
        <sz val="11"/>
        <color theme="1"/>
        <rFont val="Calibri"/>
        <family val="2"/>
        <scheme val="minor"/>
      </rPr>
      <t>5 s</t>
    </r>
  </si>
  <si>
    <t>Ics
(kA)</t>
  </si>
  <si>
    <t>Ik3.max &lt; Ics</t>
  </si>
  <si>
    <t>Disparador</t>
  </si>
  <si>
    <t>Curto-circuitos</t>
  </si>
  <si>
    <t>Sobrecargas e quedas de tensão</t>
  </si>
  <si>
    <t>Proteção (designação completa)</t>
  </si>
  <si>
    <t>Ik2.min/Ir</t>
  </si>
  <si>
    <t>tc2
(s)</t>
  </si>
  <si>
    <t>Ik1.min/Ir</t>
  </si>
  <si>
    <t>tc2 &lt; tft2</t>
  </si>
  <si>
    <r>
      <t xml:space="preserve">tc2 </t>
    </r>
    <r>
      <rPr>
        <sz val="11"/>
        <color theme="1"/>
        <rFont val="Calibri"/>
        <family val="2"/>
      </rPr>
      <t xml:space="preserve">≤ </t>
    </r>
    <r>
      <rPr>
        <sz val="11"/>
        <color theme="1"/>
        <rFont val="Calibri"/>
        <family val="2"/>
        <scheme val="minor"/>
      </rPr>
      <t>5 s</t>
    </r>
  </si>
  <si>
    <t>IK1.min - Curto-circuitos monofásicos mínimos</t>
  </si>
  <si>
    <t>IK2.min - Curto-circuitos bifásicos mínimos</t>
  </si>
  <si>
    <t>Correntes de curto-circuito máximas</t>
  </si>
  <si>
    <t>Rede</t>
  </si>
  <si>
    <t>l</t>
  </si>
  <si>
    <t>(MVA)</t>
  </si>
  <si>
    <t xml:space="preserve">Scc </t>
  </si>
  <si>
    <t>(%)</t>
  </si>
  <si>
    <t>Sn</t>
  </si>
  <si>
    <t>Ω.mm2/m</t>
  </si>
  <si>
    <t>XL</t>
  </si>
  <si>
    <t>Barram.</t>
  </si>
  <si>
    <t>-</t>
  </si>
  <si>
    <t>Disjun.</t>
  </si>
  <si>
    <t>Cabos mono ou mult. Em cond. Ent.</t>
  </si>
  <si>
    <t>Micrologic 2.3</t>
  </si>
  <si>
    <t>TM125D</t>
  </si>
  <si>
    <t>TM80D</t>
  </si>
  <si>
    <t>TM32D</t>
  </si>
  <si>
    <t>TM25D</t>
  </si>
  <si>
    <t>Compressor</t>
  </si>
  <si>
    <t>Isolamento</t>
  </si>
  <si>
    <t>Cobre</t>
  </si>
  <si>
    <t>QGBT - QGE</t>
  </si>
  <si>
    <t>PVC</t>
  </si>
  <si>
    <t xml:space="preserve">VV(frt)(zh) 5G10 0,6/1 kV </t>
  </si>
  <si>
    <t xml:space="preserve">VV(frt)(zh) 5G16 0,6/1 kV </t>
  </si>
  <si>
    <t>QGE - QP1</t>
  </si>
  <si>
    <t>QGE- QP2</t>
  </si>
  <si>
    <t>QGE - QP3</t>
  </si>
  <si>
    <t>QGE - QP4</t>
  </si>
  <si>
    <t>QGE - QP5</t>
  </si>
  <si>
    <t>QGE - QP6</t>
  </si>
  <si>
    <t>QGE - QP7</t>
  </si>
  <si>
    <t>QGE - QP8</t>
  </si>
  <si>
    <t>QGE - QP9</t>
  </si>
  <si>
    <t>QGE - QP10</t>
  </si>
  <si>
    <t>QGE - QP11</t>
  </si>
  <si>
    <t>QGE - QP12</t>
  </si>
  <si>
    <t xml:space="preserve">QGBT - QGE </t>
  </si>
  <si>
    <t>QGE - QP2</t>
  </si>
  <si>
    <t>3x[VV(frt)(zh) 1x120 0,6/1 kV] + VV(frt)(zh) 1x70 0,6/1 kV + VV(frt)(zh) 1G70  0,6/1 kV</t>
  </si>
  <si>
    <t>3x[VV(frt)(zh) 1x70 0,6/1 kV] + VV(frt)(zh) 1x35 0,6/1 kV + VV(frt)(zh) 1G35  0,6/1 kV</t>
  </si>
  <si>
    <t>tc1(s)</t>
  </si>
  <si>
    <t xml:space="preserve">PVC </t>
  </si>
  <si>
    <t>cobre</t>
  </si>
  <si>
    <t xml:space="preserve">VV(frt)(zh) 5G25 0,6/1 kV </t>
  </si>
  <si>
    <t xml:space="preserve">VV(frt)(zh) 5G4 0,6/1 kV </t>
  </si>
  <si>
    <t>QP 1 (Oficina)</t>
  </si>
  <si>
    <t>QP 2 (Sala 6)</t>
  </si>
  <si>
    <t>QP 3 (Sala 5)</t>
  </si>
  <si>
    <t>QP 4 (Sala 4)</t>
  </si>
  <si>
    <t>QP 5 (Lab 5)</t>
  </si>
  <si>
    <t>QP 6 (Lab 4)</t>
  </si>
  <si>
    <t>QP 7  (Lab 3)</t>
  </si>
  <si>
    <t>QP 8 (Sala 3)</t>
  </si>
  <si>
    <t>QP 9 (Lab 2)</t>
  </si>
  <si>
    <t>QP 10 (Lab 1)</t>
  </si>
  <si>
    <t>QP 11 (Arrecadação)</t>
  </si>
  <si>
    <t>QP 12 (Sala 1)</t>
  </si>
  <si>
    <t>QGE</t>
  </si>
  <si>
    <t>3x[VAV(frt)(zh) 1x185 0,6/1 kV] + VAV(frt)(zh) 1x150 0,6/1 kV + VAV(frt)(zh) 1G150  0,6/1 kV</t>
  </si>
  <si>
    <t>Q.G.E.</t>
  </si>
  <si>
    <t>12*2</t>
  </si>
  <si>
    <t>Material</t>
  </si>
  <si>
    <t>Cobre não pintado</t>
  </si>
  <si>
    <t xml:space="preserve">VV(frt)(zh) 5G6 0,6/1 kV </t>
  </si>
  <si>
    <t xml:space="preserve">VV(frt)(zh) 3G2,5 0,6/1 kV </t>
  </si>
  <si>
    <t>Tomadas mono</t>
  </si>
  <si>
    <t>Tomadas tri</t>
  </si>
  <si>
    <t xml:space="preserve">VV(frt)(zh) 5G2,5 0,6/1 kV </t>
  </si>
  <si>
    <t xml:space="preserve">VV(frt)(zh) 5G1,5 0,6/1 kV </t>
  </si>
  <si>
    <t>QP1 -ESG-618</t>
  </si>
  <si>
    <t>QP1 - Microcut 8371</t>
  </si>
  <si>
    <t>QP1 - Microcut 1500</t>
  </si>
  <si>
    <t>QP1 - Microcut 1440E</t>
  </si>
  <si>
    <t>QP1 - Microcut 5600B</t>
  </si>
  <si>
    <t xml:space="preserve">QP1 - CNC </t>
  </si>
  <si>
    <t>IC60N D 32A 10kA 4P</t>
  </si>
  <si>
    <t>IC60N D 10A 10kA 4P</t>
  </si>
  <si>
    <t>C60N D 16A 10kA 4P</t>
  </si>
  <si>
    <t>C60N D 10A 10kA 4P</t>
  </si>
  <si>
    <t>Compact NSX400B 4P4D</t>
  </si>
  <si>
    <t>Compact NSX160B 4P4D</t>
  </si>
  <si>
    <t>Compact NSX100B 4P3D</t>
  </si>
  <si>
    <t>Compact NSX100B 4P</t>
  </si>
  <si>
    <t xml:space="preserve">Compact NSX100B 4P4D </t>
  </si>
  <si>
    <t>Compact NSX400B 4P4D 25kA</t>
  </si>
  <si>
    <t>Compact NSX160B 4P4D 25kA</t>
  </si>
  <si>
    <t>Compact NSX100B 4P3D 25kA</t>
  </si>
  <si>
    <t>Compact NSX100B 4P4D 25kA</t>
  </si>
  <si>
    <t>QP11-Compressor</t>
  </si>
  <si>
    <t>QGE-Compressor</t>
  </si>
  <si>
    <t>QP1 - Iluminação</t>
  </si>
  <si>
    <t>condutor</t>
  </si>
  <si>
    <t>QGE - Tomadas mono</t>
  </si>
  <si>
    <t>QGE - Tomadas trifásicas</t>
  </si>
  <si>
    <t>60*5</t>
  </si>
  <si>
    <t>40*2</t>
  </si>
  <si>
    <t>QGE - QPUPS</t>
  </si>
  <si>
    <t>VV(frt)(zh)3G70 0,6/1kV</t>
  </si>
  <si>
    <t>Compact NSX100B 2P</t>
  </si>
  <si>
    <t>QGE-UPS</t>
  </si>
  <si>
    <t>Compact NSX100B 2P 25kA</t>
  </si>
  <si>
    <t>Cargas do Q.G.E</t>
  </si>
  <si>
    <t>Curto  -Circuito</t>
  </si>
  <si>
    <t>Sobrecargas e Queda de Tensão</t>
  </si>
  <si>
    <t>Balanço de Potências</t>
  </si>
  <si>
    <t>Cargas</t>
  </si>
  <si>
    <t>I (A)</t>
  </si>
  <si>
    <t>x (m)</t>
  </si>
  <si>
    <t>y (m)</t>
  </si>
  <si>
    <t>QP1</t>
  </si>
  <si>
    <t>=</t>
  </si>
  <si>
    <r>
      <t>(m.A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</si>
  <si>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QP2</t>
  </si>
  <si>
    <t>QP3</t>
  </si>
  <si>
    <t>QP4</t>
  </si>
  <si>
    <t>QP5</t>
  </si>
  <si>
    <t>QP6</t>
  </si>
  <si>
    <t>QP7</t>
  </si>
  <si>
    <t>(A²)</t>
  </si>
  <si>
    <t>QP8</t>
  </si>
  <si>
    <t>QP9</t>
  </si>
  <si>
    <t>QP10</t>
  </si>
  <si>
    <t>QP11</t>
  </si>
  <si>
    <t>+</t>
  </si>
  <si>
    <t>(m)</t>
  </si>
  <si>
    <t>QP12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</si>
</sst>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0"/>
    <numFmt numFmtId="166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sz val="9.9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9" fillId="0" borderId="25" applyNumberFormat="0" applyFill="0" applyAlignment="0" applyProtection="0"/>
    <xf numFmtId="0" fontId="20" fillId="0" borderId="0" applyNumberFormat="0" applyFill="0" applyBorder="0" applyAlignment="0" applyProtection="0"/>
    <xf numFmtId="0" fontId="21" fillId="6" borderId="26" applyNumberFormat="0" applyAlignment="0" applyProtection="0"/>
  </cellStyleXfs>
  <cellXfs count="20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7" fillId="0" borderId="0" xfId="0" applyFont="1"/>
    <xf numFmtId="0" fontId="8" fillId="0" borderId="0" xfId="0" applyFont="1"/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/>
    </xf>
    <xf numFmtId="0" fontId="9" fillId="3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9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" fontId="0" fillId="0" borderId="5" xfId="0" applyNumberForma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14" fillId="0" borderId="0" xfId="0" applyFont="1"/>
    <xf numFmtId="0" fontId="0" fillId="0" borderId="16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2" fontId="0" fillId="0" borderId="5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0" xfId="0" applyBorder="1"/>
    <xf numFmtId="0" fontId="0" fillId="0" borderId="22" xfId="0" applyFill="1" applyBorder="1" applyAlignment="1">
      <alignment horizontal="center" vertical="center" wrapText="1"/>
    </xf>
    <xf numFmtId="0" fontId="0" fillId="0" borderId="7" xfId="0" applyBorder="1"/>
    <xf numFmtId="0" fontId="10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4" xfId="0" applyFill="1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/>
    </xf>
    <xf numFmtId="164" fontId="0" fillId="0" borderId="1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wrapText="1"/>
    </xf>
    <xf numFmtId="0" fontId="0" fillId="5" borderId="3" xfId="0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 vertical="center"/>
    </xf>
    <xf numFmtId="164" fontId="15" fillId="0" borderId="10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2" fontId="0" fillId="0" borderId="23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24" xfId="0" applyNumberForma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Fill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wrapText="1"/>
    </xf>
    <xf numFmtId="0" fontId="9" fillId="0" borderId="7" xfId="0" applyFont="1" applyFill="1" applyBorder="1" applyAlignment="1">
      <alignment horizontal="center" wrapText="1"/>
    </xf>
    <xf numFmtId="0" fontId="9" fillId="0" borderId="8" xfId="0" applyFont="1" applyFill="1" applyBorder="1" applyAlignment="1">
      <alignment horizontal="center" wrapText="1"/>
    </xf>
    <xf numFmtId="0" fontId="18" fillId="0" borderId="2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164" fontId="0" fillId="0" borderId="10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19" fillId="0" borderId="25" xfId="1" applyAlignment="1">
      <alignment horizontal="center"/>
    </xf>
    <xf numFmtId="0" fontId="19" fillId="0" borderId="0" xfId="1" applyBorder="1" applyAlignment="1">
      <alignment horizontal="center"/>
    </xf>
    <xf numFmtId="0" fontId="20" fillId="0" borderId="1" xfId="2" applyBorder="1" applyAlignment="1">
      <alignment horizontal="center" vertical="center"/>
    </xf>
    <xf numFmtId="2" fontId="0" fillId="0" borderId="1" xfId="0" applyNumberFormat="1" applyBorder="1"/>
    <xf numFmtId="0" fontId="21" fillId="6" borderId="27" xfId="3" applyBorder="1" applyAlignment="1">
      <alignment horizontal="center" vertical="center"/>
    </xf>
    <xf numFmtId="0" fontId="21" fillId="6" borderId="26" xfId="3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166" fontId="1" fillId="3" borderId="0" xfId="0" applyNumberFormat="1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6" fontId="0" fillId="0" borderId="1" xfId="0" applyNumberFormat="1" applyBorder="1"/>
  </cellXfs>
  <cellStyles count="4">
    <cellStyle name="Cabeçalho 1" xfId="1" builtinId="16"/>
    <cellStyle name="Cabeçalho 4" xfId="2" builtinId="19"/>
    <cellStyle name="Entrada" xfId="3" builtinId="20"/>
    <cellStyle name="Normal" xfId="0" builtinId="0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Localização</a:t>
            </a:r>
            <a:r>
              <a:rPr lang="pt-PT" baseline="0"/>
              <a:t> c</a:t>
            </a:r>
            <a:r>
              <a:rPr lang="pt-PT"/>
              <a:t>entro de</a:t>
            </a:r>
            <a:r>
              <a:rPr lang="pt-PT" baseline="0"/>
              <a:t> cargas geral</a:t>
            </a:r>
          </a:p>
        </c:rich>
      </c:tx>
      <c:layout>
        <c:manualLayout>
          <c:xMode val="edge"/>
          <c:yMode val="edge"/>
          <c:x val="2.2969269062769377E-2"/>
          <c:y val="1.820941109521881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888888888888891E-2"/>
          <c:y val="2.388734741490648E-2"/>
          <c:w val="0.91418064691824052"/>
          <c:h val="0.93912760904886894"/>
        </c:manualLayout>
      </c:layout>
      <c:scatterChart>
        <c:scatterStyle val="lineMarker"/>
        <c:varyColors val="0"/>
        <c:ser>
          <c:idx val="0"/>
          <c:order val="0"/>
          <c:tx>
            <c:v>Cargas</c:v>
          </c:tx>
          <c:spPr>
            <a:ln w="25400" cap="rnd">
              <a:noFill/>
              <a:round/>
            </a:ln>
            <a:effectLst>
              <a:glow rad="203200">
                <a:srgbClr val="FFC000">
                  <a:alpha val="40000"/>
                </a:srgbClr>
              </a:glow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glow rad="203200">
                  <a:srgbClr val="FFC000">
                    <a:alpha val="40000"/>
                  </a:srgbClr>
                </a:glow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'[1]Centro de carga geral'!$C$2:$C$13</c:f>
              <c:numCache>
                <c:formatCode>General</c:formatCode>
                <c:ptCount val="12"/>
                <c:pt idx="0">
                  <c:v>20</c:v>
                </c:pt>
                <c:pt idx="1">
                  <c:v>14</c:v>
                </c:pt>
                <c:pt idx="2">
                  <c:v>7</c:v>
                </c:pt>
                <c:pt idx="3">
                  <c:v>1</c:v>
                </c:pt>
                <c:pt idx="4">
                  <c:v>-6</c:v>
                </c:pt>
                <c:pt idx="5">
                  <c:v>-13</c:v>
                </c:pt>
                <c:pt idx="6">
                  <c:v>-14</c:v>
                </c:pt>
                <c:pt idx="7">
                  <c:v>-14</c:v>
                </c:pt>
                <c:pt idx="8">
                  <c:v>-15</c:v>
                </c:pt>
                <c:pt idx="9">
                  <c:v>-15</c:v>
                </c:pt>
                <c:pt idx="10">
                  <c:v>-16</c:v>
                </c:pt>
                <c:pt idx="11">
                  <c:v>-12</c:v>
                </c:pt>
              </c:numCache>
            </c:numRef>
          </c:xVal>
          <c:yVal>
            <c:numRef>
              <c:f>'[1]Centro de carga geral'!$D$2:$D$13</c:f>
              <c:numCache>
                <c:formatCode>General</c:formatCode>
                <c:ptCount val="12"/>
                <c:pt idx="0">
                  <c:v>14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6</c:v>
                </c:pt>
                <c:pt idx="7">
                  <c:v>0.5</c:v>
                </c:pt>
                <c:pt idx="8">
                  <c:v>-5</c:v>
                </c:pt>
                <c:pt idx="9">
                  <c:v>-9</c:v>
                </c:pt>
                <c:pt idx="10">
                  <c:v>-15</c:v>
                </c:pt>
                <c:pt idx="11">
                  <c:v>-18</c:v>
                </c:pt>
              </c:numCache>
            </c:numRef>
          </c:yVal>
          <c:smooth val="0"/>
        </c:ser>
        <c:ser>
          <c:idx val="1"/>
          <c:order val="1"/>
          <c:tx>
            <c:v>Centro de Cargas</c:v>
          </c:tx>
          <c:spPr>
            <a:ln w="25400" cap="rnd">
              <a:noFill/>
              <a:round/>
            </a:ln>
            <a:effectLst>
              <a:glow rad="965200">
                <a:srgbClr val="FFFF00">
                  <a:alpha val="40000"/>
                </a:srgbClr>
              </a:glo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76200" cap="rnd">
                <a:solidFill>
                  <a:schemeClr val="accent4"/>
                </a:solidFill>
                <a:round/>
              </a:ln>
              <a:effectLst>
                <a:glow rad="965200">
                  <a:srgbClr val="FFFF00">
                    <a:alpha val="40000"/>
                  </a:srgbClr>
                </a:glow>
                <a:softEdge rad="0"/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'[1]Centro de carga geral'!$L$12</c:f>
              <c:numCache>
                <c:formatCode>0.000</c:formatCode>
                <c:ptCount val="1"/>
                <c:pt idx="0">
                  <c:v>18.546572070682334</c:v>
                </c:pt>
              </c:numCache>
            </c:numRef>
          </c:xVal>
          <c:yVal>
            <c:numRef>
              <c:f>'[1]Centro de carga geral'!$N$12</c:f>
              <c:numCache>
                <c:formatCode>0.000</c:formatCode>
                <c:ptCount val="1"/>
                <c:pt idx="0">
                  <c:v>13.557959344787124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480032"/>
        <c:axId val="379473760"/>
      </c:scatterChart>
      <c:valAx>
        <c:axId val="379480032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9473760"/>
        <c:crossesAt val="0"/>
        <c:crossBetween val="midCat"/>
        <c:majorUnit val="2"/>
        <c:minorUnit val="2"/>
      </c:valAx>
      <c:valAx>
        <c:axId val="379473760"/>
        <c:scaling>
          <c:orientation val="minMax"/>
          <c:max val="25"/>
          <c:min val="-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9480032"/>
        <c:crosses val="autoZero"/>
        <c:crossBetween val="midCat"/>
        <c:majorUnit val="2"/>
        <c:min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099934463911576"/>
          <c:y val="2.7060809874312055E-2"/>
          <c:w val="0.28287643149083985"/>
          <c:h val="4.1484160998595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Localização</a:t>
            </a:r>
            <a:r>
              <a:rPr lang="pt-PT" baseline="0"/>
              <a:t> c</a:t>
            </a:r>
            <a:r>
              <a:rPr lang="pt-PT"/>
              <a:t>entro de</a:t>
            </a:r>
            <a:r>
              <a:rPr lang="pt-PT" baseline="0"/>
              <a:t> cargas oficina</a:t>
            </a:r>
          </a:p>
        </c:rich>
      </c:tx>
      <c:layout>
        <c:manualLayout>
          <c:xMode val="edge"/>
          <c:yMode val="edge"/>
          <c:x val="8.7512283713350979E-3"/>
          <c:y val="1.820941109521881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888888888888891E-2"/>
          <c:y val="2.388734741490648E-2"/>
          <c:w val="0.91418064691824052"/>
          <c:h val="0.93912760904886894"/>
        </c:manualLayout>
      </c:layout>
      <c:scatterChart>
        <c:scatterStyle val="lineMarker"/>
        <c:varyColors val="0"/>
        <c:ser>
          <c:idx val="0"/>
          <c:order val="0"/>
          <c:tx>
            <c:v>Cargas</c:v>
          </c:tx>
          <c:spPr>
            <a:ln w="25400" cap="rnd">
              <a:noFill/>
              <a:round/>
            </a:ln>
            <a:effectLst>
              <a:glow rad="203200">
                <a:srgbClr val="FFC000">
                  <a:alpha val="40000"/>
                </a:srgbClr>
              </a:glow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glow rad="203200">
                  <a:srgbClr val="FFC000">
                    <a:alpha val="40000"/>
                  </a:srgbClr>
                </a:glow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'[1]Centro de carga oficina'!$C$2:$C$13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-3</c:v>
                </c:pt>
                <c:pt idx="5">
                  <c:v>3</c:v>
                </c:pt>
                <c:pt idx="6">
                  <c:v>3</c:v>
                </c:pt>
                <c:pt idx="7">
                  <c:v>-3</c:v>
                </c:pt>
                <c:pt idx="8">
                  <c:v>-5</c:v>
                </c:pt>
              </c:numCache>
            </c:numRef>
          </c:xVal>
          <c:yVal>
            <c:numRef>
              <c:f>'[1]Centro de carga oficina'!$D$2:$D$13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-6</c:v>
                </c:pt>
                <c:pt idx="5">
                  <c:v>6</c:v>
                </c:pt>
                <c:pt idx="6">
                  <c:v>-6</c:v>
                </c:pt>
                <c:pt idx="7">
                  <c:v>6</c:v>
                </c:pt>
                <c:pt idx="8">
                  <c:v>4</c:v>
                </c:pt>
              </c:numCache>
            </c:numRef>
          </c:yVal>
          <c:smooth val="0"/>
        </c:ser>
        <c:ser>
          <c:idx val="1"/>
          <c:order val="1"/>
          <c:tx>
            <c:v>Centro de Cargas</c:v>
          </c:tx>
          <c:spPr>
            <a:ln w="25400" cap="rnd">
              <a:noFill/>
              <a:round/>
            </a:ln>
            <a:effectLst>
              <a:glow rad="965200">
                <a:srgbClr val="FFFF00">
                  <a:alpha val="40000"/>
                </a:srgbClr>
              </a:glo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76200" cap="rnd">
                <a:solidFill>
                  <a:schemeClr val="accent4"/>
                </a:solidFill>
                <a:round/>
              </a:ln>
              <a:effectLst>
                <a:glow rad="965200">
                  <a:srgbClr val="FFFF00">
                    <a:alpha val="40000"/>
                  </a:srgbClr>
                </a:glow>
                <a:softEdge rad="0"/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'[1]Centro de carga oficina'!$L$12</c:f>
              <c:numCache>
                <c:formatCode>0.000</c:formatCode>
                <c:ptCount val="1"/>
                <c:pt idx="0">
                  <c:v>-0.65709507909907861</c:v>
                </c:pt>
              </c:numCache>
            </c:numRef>
          </c:xVal>
          <c:yVal>
            <c:numRef>
              <c:f>'[1]Centro de carga oficina'!$N$12</c:f>
              <c:numCache>
                <c:formatCode>0.000</c:formatCode>
                <c:ptCount val="1"/>
                <c:pt idx="0">
                  <c:v>0.52602783720094637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647888"/>
        <c:axId val="302648672"/>
      </c:scatterChart>
      <c:valAx>
        <c:axId val="302647888"/>
        <c:scaling>
          <c:orientation val="minMax"/>
          <c:max val="4"/>
          <c:min val="-4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02648672"/>
        <c:crossesAt val="0"/>
        <c:crossBetween val="midCat"/>
        <c:majorUnit val="2"/>
        <c:minorUnit val="2"/>
      </c:valAx>
      <c:valAx>
        <c:axId val="302648672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02647888"/>
        <c:crosses val="autoZero"/>
        <c:crossBetween val="midCat"/>
        <c:majorUnit val="2"/>
        <c:min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099934463911576"/>
          <c:y val="2.7060809874312055E-2"/>
          <c:w val="0.28287643149083985"/>
          <c:h val="4.1484160998595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495301</xdr:colOff>
      <xdr:row>9</xdr:row>
      <xdr:rowOff>32594</xdr:rowOff>
    </xdr:from>
    <xdr:to>
      <xdr:col>9</xdr:col>
      <xdr:colOff>381000</xdr:colOff>
      <xdr:row>14</xdr:row>
      <xdr:rowOff>67454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7458" t="7355" b="37970"/>
        <a:stretch/>
      </xdr:blipFill>
      <xdr:spPr>
        <a:xfrm>
          <a:off x="4210051" y="1880444"/>
          <a:ext cx="1714499" cy="9873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85725</xdr:rowOff>
    </xdr:from>
    <xdr:to>
      <xdr:col>5</xdr:col>
      <xdr:colOff>223893</xdr:colOff>
      <xdr:row>8</xdr:row>
      <xdr:rowOff>161925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1521" t="74044" r="42672"/>
        <a:stretch/>
      </xdr:blipFill>
      <xdr:spPr>
        <a:xfrm>
          <a:off x="2495550" y="1362075"/>
          <a:ext cx="833493" cy="45720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0</xdr:row>
      <xdr:rowOff>110275</xdr:rowOff>
    </xdr:from>
    <xdr:to>
      <xdr:col>5</xdr:col>
      <xdr:colOff>9525</xdr:colOff>
      <xdr:row>3</xdr:row>
      <xdr:rowOff>85725</xdr:rowOff>
    </xdr:to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757" t="7110" r="44898" b="67637"/>
        <a:stretch/>
      </xdr:blipFill>
      <xdr:spPr>
        <a:xfrm>
          <a:off x="2505075" y="110275"/>
          <a:ext cx="609600" cy="546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95250</xdr:rowOff>
    </xdr:from>
    <xdr:to>
      <xdr:col>5</xdr:col>
      <xdr:colOff>12879</xdr:colOff>
      <xdr:row>5</xdr:row>
      <xdr:rowOff>176414</xdr:rowOff>
    </xdr:to>
    <xdr:pic>
      <xdr:nvPicPr>
        <xdr:cNvPr id="5" name="Imagem 4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66234" t="7846" r="6865" b="67391"/>
        <a:stretch/>
      </xdr:blipFill>
      <xdr:spPr>
        <a:xfrm>
          <a:off x="2495550" y="771525"/>
          <a:ext cx="622479" cy="462164"/>
        </a:xfrm>
        <a:prstGeom prst="rect">
          <a:avLst/>
        </a:prstGeom>
      </xdr:spPr>
    </xdr:pic>
    <xdr:clientData/>
  </xdr:twoCellAnchor>
  <xdr:twoCellAnchor editAs="oneCell">
    <xdr:from>
      <xdr:col>3</xdr:col>
      <xdr:colOff>523876</xdr:colOff>
      <xdr:row>10</xdr:row>
      <xdr:rowOff>156198</xdr:rowOff>
    </xdr:from>
    <xdr:to>
      <xdr:col>6</xdr:col>
      <xdr:colOff>504826</xdr:colOff>
      <xdr:row>12</xdr:row>
      <xdr:rowOff>76200</xdr:rowOff>
    </xdr:to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</a:extLst>
        </a:blip>
        <a:srcRect t="36115" b="29436"/>
        <a:stretch/>
      </xdr:blipFill>
      <xdr:spPr>
        <a:xfrm>
          <a:off x="2352676" y="2194548"/>
          <a:ext cx="1809750" cy="310527"/>
        </a:xfrm>
        <a:prstGeom prst="rect">
          <a:avLst/>
        </a:prstGeom>
      </xdr:spPr>
    </xdr:pic>
    <xdr:clientData/>
  </xdr:twoCellAnchor>
  <xdr:twoCellAnchor editAs="oneCell">
    <xdr:from>
      <xdr:col>11</xdr:col>
      <xdr:colOff>523875</xdr:colOff>
      <xdr:row>11</xdr:row>
      <xdr:rowOff>22714</xdr:rowOff>
    </xdr:from>
    <xdr:to>
      <xdr:col>11</xdr:col>
      <xdr:colOff>603006</xdr:colOff>
      <xdr:row>12</xdr:row>
      <xdr:rowOff>1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rcRect l="56072" t="25239" r="39092" b="61979"/>
        <a:stretch/>
      </xdr:blipFill>
      <xdr:spPr>
        <a:xfrm>
          <a:off x="6657975" y="2251564"/>
          <a:ext cx="79131" cy="167787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10</xdr:row>
      <xdr:rowOff>189767</xdr:rowOff>
    </xdr:from>
    <xdr:to>
      <xdr:col>13</xdr:col>
      <xdr:colOff>590550</xdr:colOff>
      <xdr:row>12</xdr:row>
      <xdr:rowOff>9525</xdr:rowOff>
    </xdr:to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rcRect l="94358" t="24173" r="403" b="60382"/>
        <a:stretch/>
      </xdr:blipFill>
      <xdr:spPr>
        <a:xfrm>
          <a:off x="7391400" y="2228117"/>
          <a:ext cx="85725" cy="200758"/>
        </a:xfrm>
        <a:prstGeom prst="rect">
          <a:avLst/>
        </a:prstGeom>
      </xdr:spPr>
    </xdr:pic>
    <xdr:clientData/>
  </xdr:twoCellAnchor>
  <xdr:twoCellAnchor>
    <xdr:from>
      <xdr:col>0</xdr:col>
      <xdr:colOff>400050</xdr:colOff>
      <xdr:row>15</xdr:row>
      <xdr:rowOff>152400</xdr:rowOff>
    </xdr:from>
    <xdr:to>
      <xdr:col>13</xdr:col>
      <xdr:colOff>247650</xdr:colOff>
      <xdr:row>48</xdr:row>
      <xdr:rowOff>142874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495301</xdr:colOff>
      <xdr:row>9</xdr:row>
      <xdr:rowOff>32594</xdr:rowOff>
    </xdr:from>
    <xdr:ext cx="1714499" cy="996885"/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7458" t="7355" b="37970"/>
        <a:stretch/>
      </xdr:blipFill>
      <xdr:spPr>
        <a:xfrm>
          <a:off x="4705351" y="1880444"/>
          <a:ext cx="1714499" cy="987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85725</xdr:rowOff>
    </xdr:from>
    <xdr:ext cx="833493" cy="457200"/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1521" t="74044" r="42672"/>
        <a:stretch/>
      </xdr:blipFill>
      <xdr:spPr>
        <a:xfrm>
          <a:off x="2990850" y="1362075"/>
          <a:ext cx="833493" cy="457200"/>
        </a:xfrm>
        <a:prstGeom prst="rect">
          <a:avLst/>
        </a:prstGeom>
      </xdr:spPr>
    </xdr:pic>
    <xdr:clientData/>
  </xdr:oneCellAnchor>
  <xdr:oneCellAnchor>
    <xdr:from>
      <xdr:col>4</xdr:col>
      <xdr:colOff>9525</xdr:colOff>
      <xdr:row>0</xdr:row>
      <xdr:rowOff>110275</xdr:rowOff>
    </xdr:from>
    <xdr:ext cx="609600" cy="651725"/>
    <xdr:pic>
      <xdr:nvPicPr>
        <xdr:cNvPr id="4" name="Imagem 3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8757" t="7110" r="44898" b="67637"/>
        <a:stretch/>
      </xdr:blipFill>
      <xdr:spPr>
        <a:xfrm>
          <a:off x="3000375" y="110275"/>
          <a:ext cx="609600" cy="5469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95250</xdr:rowOff>
    </xdr:from>
    <xdr:ext cx="622479" cy="490739"/>
    <xdr:pic>
      <xdr:nvPicPr>
        <xdr:cNvPr id="5" name="Imagem 4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66234" t="7846" r="6865" b="67391"/>
        <a:stretch/>
      </xdr:blipFill>
      <xdr:spPr>
        <a:xfrm>
          <a:off x="2990850" y="771525"/>
          <a:ext cx="622479" cy="462164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10</xdr:row>
      <xdr:rowOff>165723</xdr:rowOff>
    </xdr:from>
    <xdr:ext cx="1809750" cy="310527"/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</a14:imgLayer>
              </a14:imgProps>
            </a:ext>
          </a:extLst>
        </a:blip>
        <a:srcRect t="36115" b="29436"/>
        <a:stretch/>
      </xdr:blipFill>
      <xdr:spPr>
        <a:xfrm>
          <a:off x="2876551" y="2204073"/>
          <a:ext cx="1809750" cy="301002"/>
        </a:xfrm>
        <a:prstGeom prst="rect">
          <a:avLst/>
        </a:prstGeom>
      </xdr:spPr>
    </xdr:pic>
    <xdr:clientData/>
  </xdr:oneCellAnchor>
  <xdr:oneCellAnchor>
    <xdr:from>
      <xdr:col>11</xdr:col>
      <xdr:colOff>523875</xdr:colOff>
      <xdr:row>11</xdr:row>
      <xdr:rowOff>22714</xdr:rowOff>
    </xdr:from>
    <xdr:ext cx="79131" cy="177312"/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rcRect l="56072" t="25239" r="39092" b="61979"/>
        <a:stretch/>
      </xdr:blipFill>
      <xdr:spPr>
        <a:xfrm>
          <a:off x="7153275" y="2251564"/>
          <a:ext cx="79131" cy="167787"/>
        </a:xfrm>
        <a:prstGeom prst="rect">
          <a:avLst/>
        </a:prstGeom>
      </xdr:spPr>
    </xdr:pic>
    <xdr:clientData/>
  </xdr:oneCellAnchor>
  <xdr:oneCellAnchor>
    <xdr:from>
      <xdr:col>13</xdr:col>
      <xdr:colOff>504825</xdr:colOff>
      <xdr:row>10</xdr:row>
      <xdr:rowOff>189767</xdr:rowOff>
    </xdr:from>
    <xdr:ext cx="85725" cy="210283"/>
    <xdr:pic>
      <xdr:nvPicPr>
        <xdr:cNvPr id="8" name="Imagem 7"/>
        <xdr:cNvPicPr>
          <a:picLocks noChangeAspect="1"/>
        </xdr:cNvPicPr>
      </xdr:nvPicPr>
      <xdr:blipFill rotWithShape="1"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rcRect l="94358" t="24173" r="403" b="60382"/>
        <a:stretch/>
      </xdr:blipFill>
      <xdr:spPr>
        <a:xfrm>
          <a:off x="7886700" y="2228117"/>
          <a:ext cx="85725" cy="200758"/>
        </a:xfrm>
        <a:prstGeom prst="rect">
          <a:avLst/>
        </a:prstGeom>
      </xdr:spPr>
    </xdr:pic>
    <xdr:clientData/>
  </xdr:oneCellAnchor>
  <xdr:twoCellAnchor>
    <xdr:from>
      <xdr:col>2</xdr:col>
      <xdr:colOff>0</xdr:colOff>
      <xdr:row>17</xdr:row>
      <xdr:rowOff>0</xdr:rowOff>
    </xdr:from>
    <xdr:to>
      <xdr:col>13</xdr:col>
      <xdr:colOff>28575</xdr:colOff>
      <xdr:row>41</xdr:row>
      <xdr:rowOff>66674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quel/Downloads/Centro%20de%20carg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 de carga geral"/>
      <sheetName val="Centro de carga oficina"/>
      <sheetName val="Tabela ilum. ext."/>
    </sheetNames>
    <sheetDataSet>
      <sheetData sheetId="0">
        <row r="2">
          <cell r="C2">
            <v>20</v>
          </cell>
          <cell r="D2">
            <v>14</v>
          </cell>
        </row>
        <row r="3">
          <cell r="C3">
            <v>14</v>
          </cell>
          <cell r="D3">
            <v>17</v>
          </cell>
        </row>
        <row r="4">
          <cell r="C4">
            <v>7</v>
          </cell>
          <cell r="D4">
            <v>17</v>
          </cell>
        </row>
        <row r="5">
          <cell r="C5">
            <v>1</v>
          </cell>
          <cell r="D5">
            <v>17</v>
          </cell>
        </row>
        <row r="6">
          <cell r="C6">
            <v>-6</v>
          </cell>
          <cell r="D6">
            <v>17</v>
          </cell>
        </row>
        <row r="7">
          <cell r="C7">
            <v>-13</v>
          </cell>
          <cell r="D7">
            <v>17</v>
          </cell>
        </row>
        <row r="8">
          <cell r="C8">
            <v>-14</v>
          </cell>
          <cell r="D8">
            <v>6</v>
          </cell>
        </row>
        <row r="9">
          <cell r="C9">
            <v>-14</v>
          </cell>
          <cell r="D9">
            <v>0.5</v>
          </cell>
        </row>
        <row r="10">
          <cell r="C10">
            <v>-15</v>
          </cell>
          <cell r="D10">
            <v>-5</v>
          </cell>
        </row>
        <row r="11">
          <cell r="C11">
            <v>-15</v>
          </cell>
          <cell r="D11">
            <v>-9</v>
          </cell>
        </row>
        <row r="12">
          <cell r="C12">
            <v>-16</v>
          </cell>
          <cell r="D12">
            <v>-15</v>
          </cell>
          <cell r="L12">
            <v>18.546572070682334</v>
          </cell>
          <cell r="N12">
            <v>13.557959344787124</v>
          </cell>
        </row>
        <row r="13">
          <cell r="C13">
            <v>-12</v>
          </cell>
          <cell r="D13">
            <v>-18</v>
          </cell>
        </row>
      </sheetData>
      <sheetData sheetId="1">
        <row r="2">
          <cell r="C2">
            <v>0</v>
          </cell>
          <cell r="D2">
            <v>0</v>
          </cell>
        </row>
        <row r="3">
          <cell r="C3">
            <v>0</v>
          </cell>
          <cell r="D3">
            <v>0</v>
          </cell>
        </row>
        <row r="4">
          <cell r="C4">
            <v>0</v>
          </cell>
          <cell r="D4">
            <v>0</v>
          </cell>
        </row>
        <row r="5">
          <cell r="C5">
            <v>2</v>
          </cell>
          <cell r="D5">
            <v>2</v>
          </cell>
        </row>
        <row r="6">
          <cell r="C6">
            <v>-3</v>
          </cell>
          <cell r="D6">
            <v>-6</v>
          </cell>
        </row>
        <row r="7">
          <cell r="C7">
            <v>3</v>
          </cell>
          <cell r="D7">
            <v>6</v>
          </cell>
        </row>
        <row r="8">
          <cell r="C8">
            <v>3</v>
          </cell>
          <cell r="D8">
            <v>-6</v>
          </cell>
        </row>
        <row r="9">
          <cell r="C9">
            <v>-3</v>
          </cell>
          <cell r="D9">
            <v>6</v>
          </cell>
        </row>
        <row r="10">
          <cell r="C10">
            <v>-5</v>
          </cell>
          <cell r="D10">
            <v>4</v>
          </cell>
        </row>
        <row r="12">
          <cell r="L12">
            <v>-0.65709507909907861</v>
          </cell>
          <cell r="N12">
            <v>0.52602783720094637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60"/>
  <sheetViews>
    <sheetView topLeftCell="E115" workbookViewId="0">
      <selection activeCell="F115" sqref="F1:F1048576"/>
    </sheetView>
  </sheetViews>
  <sheetFormatPr defaultRowHeight="14.25" x14ac:dyDescent="0.2"/>
  <cols>
    <col min="1" max="1" width="4.42578125" style="17" customWidth="1"/>
    <col min="2" max="2" width="3.7109375" style="17" customWidth="1"/>
    <col min="3" max="3" width="9.140625" style="33"/>
    <col min="4" max="4" width="6.5703125" style="33" bestFit="1" customWidth="1"/>
    <col min="5" max="5" width="7.5703125" style="33" bestFit="1" customWidth="1"/>
    <col min="6" max="6" width="44.85546875" style="17" customWidth="1"/>
    <col min="7" max="15" width="11.5703125" style="17" customWidth="1"/>
    <col min="16" max="16384" width="9.140625" style="17"/>
  </cols>
  <sheetData>
    <row r="1" spans="1:18" ht="20.25" x14ac:dyDescent="0.3">
      <c r="A1" s="16" t="s">
        <v>77</v>
      </c>
    </row>
    <row r="3" spans="1:18" x14ac:dyDescent="0.2">
      <c r="B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5" x14ac:dyDescent="0.25">
      <c r="B4" s="33"/>
      <c r="C4" s="161" t="s">
        <v>206</v>
      </c>
      <c r="D4" s="162"/>
      <c r="E4" s="162"/>
      <c r="F4" s="163"/>
      <c r="G4" s="34"/>
      <c r="H4" s="34"/>
      <c r="I4" s="34"/>
      <c r="J4" s="34"/>
      <c r="K4" s="34"/>
      <c r="L4" s="34"/>
      <c r="M4" s="34"/>
      <c r="N4" s="34"/>
      <c r="O4" s="34"/>
      <c r="P4" s="33"/>
      <c r="Q4" s="33"/>
      <c r="R4" s="33"/>
    </row>
    <row r="5" spans="1:18" ht="15" x14ac:dyDescent="0.25">
      <c r="B5" s="33"/>
      <c r="C5" s="93" t="s">
        <v>0</v>
      </c>
      <c r="D5" s="93" t="s">
        <v>1</v>
      </c>
      <c r="E5" s="93" t="s">
        <v>2</v>
      </c>
      <c r="F5" s="36" t="s">
        <v>3</v>
      </c>
      <c r="G5" s="25" t="s">
        <v>81</v>
      </c>
      <c r="H5" s="26" t="s">
        <v>78</v>
      </c>
      <c r="I5" s="27" t="s">
        <v>6</v>
      </c>
      <c r="J5" s="27" t="s">
        <v>7</v>
      </c>
      <c r="K5" s="27" t="s">
        <v>79</v>
      </c>
      <c r="L5" s="27" t="s">
        <v>80</v>
      </c>
      <c r="M5" s="25" t="s">
        <v>76</v>
      </c>
      <c r="N5" s="25" t="s">
        <v>8</v>
      </c>
      <c r="O5" s="25" t="s">
        <v>82</v>
      </c>
      <c r="P5" s="33"/>
      <c r="Q5" s="33"/>
      <c r="R5" s="33"/>
    </row>
    <row r="6" spans="1:18" x14ac:dyDescent="0.2">
      <c r="B6" s="33"/>
      <c r="C6" s="94">
        <v>1</v>
      </c>
      <c r="D6" s="94">
        <v>10</v>
      </c>
      <c r="E6" s="95"/>
      <c r="F6" s="95" t="s">
        <v>9</v>
      </c>
      <c r="G6" s="30">
        <f>((230*16)*D6)/1000</f>
        <v>36.799999999999997</v>
      </c>
      <c r="H6" s="5">
        <v>1</v>
      </c>
      <c r="I6" s="29">
        <v>1</v>
      </c>
      <c r="J6" s="29">
        <v>0.3</v>
      </c>
      <c r="K6" s="29">
        <v>1</v>
      </c>
      <c r="L6" s="29">
        <v>1</v>
      </c>
      <c r="M6" s="30">
        <f>G6*J6</f>
        <v>11.04</v>
      </c>
      <c r="N6" s="30">
        <f>M6*H6</f>
        <v>11.04</v>
      </c>
      <c r="O6" s="30">
        <v>0</v>
      </c>
      <c r="P6" s="33"/>
      <c r="Q6" s="33"/>
      <c r="R6" s="33"/>
    </row>
    <row r="7" spans="1:18" ht="15.75" customHeight="1" x14ac:dyDescent="0.2">
      <c r="B7" s="33"/>
      <c r="C7" s="96">
        <v>1</v>
      </c>
      <c r="D7" s="96">
        <v>10</v>
      </c>
      <c r="E7" s="97"/>
      <c r="F7" s="97" t="s">
        <v>4</v>
      </c>
      <c r="G7" s="30">
        <f>(SQRT(3)*400*16*D7)/1000</f>
        <v>110.85125168440814</v>
      </c>
      <c r="H7" s="5">
        <v>1</v>
      </c>
      <c r="I7" s="29">
        <v>1</v>
      </c>
      <c r="J7" s="29">
        <v>0.3</v>
      </c>
      <c r="K7" s="29">
        <v>1</v>
      </c>
      <c r="L7" s="29">
        <v>1</v>
      </c>
      <c r="M7" s="30">
        <f>G7*I7*J7</f>
        <v>33.255375505322441</v>
      </c>
      <c r="N7" s="30">
        <f>M7*H7</f>
        <v>33.255375505322441</v>
      </c>
      <c r="O7" s="30">
        <v>0</v>
      </c>
      <c r="P7" s="33"/>
      <c r="Q7" s="33"/>
      <c r="R7" s="33"/>
    </row>
    <row r="8" spans="1:18" x14ac:dyDescent="0.2">
      <c r="B8" s="33"/>
      <c r="C8" s="96">
        <v>30</v>
      </c>
      <c r="D8" s="96">
        <v>3</v>
      </c>
      <c r="E8" s="97"/>
      <c r="F8" s="97" t="s">
        <v>5</v>
      </c>
      <c r="G8" s="30">
        <f>M8</f>
        <v>1.5697674418604648</v>
      </c>
      <c r="H8" s="5">
        <v>0.86</v>
      </c>
      <c r="I8" s="29">
        <v>1</v>
      </c>
      <c r="J8" s="29">
        <v>1</v>
      </c>
      <c r="K8" s="29">
        <v>1</v>
      </c>
      <c r="L8" s="29">
        <v>1.25</v>
      </c>
      <c r="M8" s="30">
        <f>SQRT(N8^2+O8^2)</f>
        <v>1.5697674418604648</v>
      </c>
      <c r="N8" s="30">
        <f>0.036*C8*L8</f>
        <v>1.3499999999999999</v>
      </c>
      <c r="O8" s="30">
        <f t="shared" ref="O8:O14" si="0">N8*TAN(ACOS(H8))</f>
        <v>0.80104295860156494</v>
      </c>
      <c r="P8" s="33"/>
      <c r="Q8" s="33"/>
      <c r="R8" s="33"/>
    </row>
    <row r="9" spans="1:18" x14ac:dyDescent="0.2">
      <c r="B9" s="33"/>
      <c r="C9" s="96">
        <v>1</v>
      </c>
      <c r="D9" s="96">
        <v>1</v>
      </c>
      <c r="E9" s="97"/>
      <c r="F9" s="97" t="s">
        <v>11</v>
      </c>
      <c r="G9" s="98">
        <f>L9/H9</f>
        <v>1.25</v>
      </c>
      <c r="H9" s="5">
        <v>0.8</v>
      </c>
      <c r="I9" s="5">
        <v>0.75</v>
      </c>
      <c r="J9" s="5">
        <v>1</v>
      </c>
      <c r="K9" s="99">
        <v>1</v>
      </c>
      <c r="L9" s="31">
        <v>1</v>
      </c>
      <c r="M9" s="30">
        <f t="shared" ref="M9:M14" si="1">SQRT(N9^2+O9^2)</f>
        <v>1.03125</v>
      </c>
      <c r="N9" s="30">
        <f>J9*I9*1.1</f>
        <v>0.82500000000000007</v>
      </c>
      <c r="O9" s="30">
        <f t="shared" si="0"/>
        <v>0.61874999999999991</v>
      </c>
      <c r="P9" s="33"/>
      <c r="Q9" s="33"/>
      <c r="R9" s="33"/>
    </row>
    <row r="10" spans="1:18" x14ac:dyDescent="0.2">
      <c r="B10" s="33"/>
      <c r="C10" s="96">
        <v>1</v>
      </c>
      <c r="D10" s="96">
        <v>1</v>
      </c>
      <c r="E10" s="97"/>
      <c r="F10" s="97" t="s">
        <v>12</v>
      </c>
      <c r="G10" s="98">
        <f>L10/H10</f>
        <v>1.25</v>
      </c>
      <c r="H10" s="5">
        <v>0.8</v>
      </c>
      <c r="I10" s="5">
        <v>0.75</v>
      </c>
      <c r="J10" s="5">
        <v>1</v>
      </c>
      <c r="K10" s="99">
        <v>1</v>
      </c>
      <c r="L10" s="31">
        <v>1</v>
      </c>
      <c r="M10" s="30">
        <f t="shared" si="1"/>
        <v>2.0625</v>
      </c>
      <c r="N10" s="30">
        <f>2.2*J10*I10</f>
        <v>1.6500000000000001</v>
      </c>
      <c r="O10" s="30">
        <f t="shared" si="0"/>
        <v>1.2374999999999998</v>
      </c>
      <c r="P10" s="33"/>
      <c r="Q10" s="127"/>
      <c r="R10" s="33"/>
    </row>
    <row r="11" spans="1:18" x14ac:dyDescent="0.2">
      <c r="B11" s="33"/>
      <c r="C11" s="96">
        <v>1</v>
      </c>
      <c r="D11" s="96">
        <v>1</v>
      </c>
      <c r="E11" s="97"/>
      <c r="F11" s="97" t="s">
        <v>13</v>
      </c>
      <c r="G11" s="98">
        <f>L11/H11</f>
        <v>1.25</v>
      </c>
      <c r="H11" s="5">
        <v>0.8</v>
      </c>
      <c r="I11" s="5">
        <v>0.75</v>
      </c>
      <c r="J11" s="5">
        <v>1</v>
      </c>
      <c r="K11" s="99">
        <v>1</v>
      </c>
      <c r="L11" s="31">
        <v>1</v>
      </c>
      <c r="M11" s="30">
        <f t="shared" si="1"/>
        <v>2.8124999999999996</v>
      </c>
      <c r="N11" s="30">
        <f>3*J11*I11</f>
        <v>2.25</v>
      </c>
      <c r="O11" s="30">
        <f t="shared" si="0"/>
        <v>1.6874999999999996</v>
      </c>
      <c r="P11" s="33"/>
      <c r="Q11" s="33"/>
      <c r="R11" s="33"/>
    </row>
    <row r="12" spans="1:18" x14ac:dyDescent="0.2">
      <c r="B12" s="33"/>
      <c r="C12" s="96">
        <v>1</v>
      </c>
      <c r="D12" s="96">
        <v>1</v>
      </c>
      <c r="E12" s="97"/>
      <c r="F12" s="97" t="s">
        <v>14</v>
      </c>
      <c r="G12" s="98">
        <f>L12/H12</f>
        <v>1.25</v>
      </c>
      <c r="H12" s="5">
        <v>0.8</v>
      </c>
      <c r="I12" s="5">
        <v>0.75</v>
      </c>
      <c r="J12" s="5">
        <v>1</v>
      </c>
      <c r="K12" s="99">
        <v>1</v>
      </c>
      <c r="L12" s="31">
        <v>1</v>
      </c>
      <c r="M12" s="30">
        <f t="shared" si="1"/>
        <v>2.0625</v>
      </c>
      <c r="N12" s="30">
        <f>2.2*J12*I12</f>
        <v>1.6500000000000001</v>
      </c>
      <c r="O12" s="30">
        <f t="shared" si="0"/>
        <v>1.2374999999999998</v>
      </c>
      <c r="P12" s="33"/>
      <c r="Q12" s="33"/>
      <c r="R12" s="33"/>
    </row>
    <row r="13" spans="1:18" x14ac:dyDescent="0.2">
      <c r="B13" s="33"/>
      <c r="C13" s="96">
        <v>1</v>
      </c>
      <c r="D13" s="96">
        <v>1</v>
      </c>
      <c r="E13" s="97"/>
      <c r="F13" s="97" t="s">
        <v>15</v>
      </c>
      <c r="G13" s="98">
        <f>L13/H13</f>
        <v>1.25</v>
      </c>
      <c r="H13" s="5">
        <v>0.8</v>
      </c>
      <c r="I13" s="5">
        <v>0.75</v>
      </c>
      <c r="J13" s="5">
        <v>1</v>
      </c>
      <c r="K13" s="99">
        <v>1</v>
      </c>
      <c r="L13" s="31">
        <v>1</v>
      </c>
      <c r="M13" s="30">
        <f t="shared" si="1"/>
        <v>1.5</v>
      </c>
      <c r="N13" s="30">
        <f>1.6*J13*I13</f>
        <v>1.2000000000000002</v>
      </c>
      <c r="O13" s="30">
        <f t="shared" si="0"/>
        <v>0.89999999999999991</v>
      </c>
      <c r="P13" s="33"/>
      <c r="Q13" s="33"/>
      <c r="R13" s="33"/>
    </row>
    <row r="14" spans="1:18" x14ac:dyDescent="0.2">
      <c r="B14" s="33"/>
      <c r="C14" s="96">
        <v>1</v>
      </c>
      <c r="D14" s="96">
        <v>1</v>
      </c>
      <c r="E14" s="97"/>
      <c r="F14" s="97" t="s">
        <v>16</v>
      </c>
      <c r="G14" s="98">
        <v>25</v>
      </c>
      <c r="H14" s="5">
        <v>0.8</v>
      </c>
      <c r="I14" s="5">
        <v>0.75</v>
      </c>
      <c r="J14" s="5">
        <v>1</v>
      </c>
      <c r="K14" s="99">
        <v>1</v>
      </c>
      <c r="L14" s="31">
        <v>1</v>
      </c>
      <c r="M14" s="30">
        <f t="shared" si="1"/>
        <v>18.749999999999996</v>
      </c>
      <c r="N14" s="30">
        <f>20*J14*I14</f>
        <v>15</v>
      </c>
      <c r="O14" s="30">
        <f t="shared" si="0"/>
        <v>11.249999999999996</v>
      </c>
      <c r="P14" s="33"/>
      <c r="Q14" s="33"/>
      <c r="R14" s="33"/>
    </row>
    <row r="15" spans="1:18" ht="15" customHeight="1" x14ac:dyDescent="0.2"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25">
        <f>SUM(M6:M14)</f>
        <v>74.083892947182903</v>
      </c>
      <c r="N15" s="25">
        <f>SUM(N6:N14)</f>
        <v>68.220375505322437</v>
      </c>
      <c r="O15" s="25">
        <f>SUM(O6:O14)</f>
        <v>17.732292958601562</v>
      </c>
      <c r="P15" s="33"/>
      <c r="Q15" s="33"/>
      <c r="R15" s="33"/>
    </row>
    <row r="16" spans="1:18" x14ac:dyDescent="0.2">
      <c r="B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2:18" x14ac:dyDescent="0.2">
      <c r="B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2:18" ht="15" x14ac:dyDescent="0.25">
      <c r="B18" s="33"/>
      <c r="C18" s="155" t="s">
        <v>207</v>
      </c>
      <c r="D18" s="156"/>
      <c r="E18" s="156"/>
      <c r="F18" s="157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2:18" ht="15" x14ac:dyDescent="0.25">
      <c r="B19" s="33"/>
      <c r="C19" s="35" t="s">
        <v>0</v>
      </c>
      <c r="D19" s="35" t="s">
        <v>1</v>
      </c>
      <c r="E19" s="35" t="s">
        <v>2</v>
      </c>
      <c r="F19" s="35" t="s">
        <v>3</v>
      </c>
      <c r="G19" s="25" t="s">
        <v>81</v>
      </c>
      <c r="H19" s="26" t="s">
        <v>78</v>
      </c>
      <c r="I19" s="27" t="s">
        <v>6</v>
      </c>
      <c r="J19" s="27" t="s">
        <v>7</v>
      </c>
      <c r="K19" s="27" t="s">
        <v>79</v>
      </c>
      <c r="L19" s="27" t="s">
        <v>80</v>
      </c>
      <c r="M19" s="25" t="s">
        <v>76</v>
      </c>
      <c r="N19" s="25" t="s">
        <v>8</v>
      </c>
      <c r="O19" s="25" t="s">
        <v>82</v>
      </c>
      <c r="P19" s="33"/>
      <c r="Q19" s="33"/>
      <c r="R19" s="33"/>
    </row>
    <row r="20" spans="2:18" x14ac:dyDescent="0.2">
      <c r="B20" s="33"/>
      <c r="C20" s="21">
        <v>14</v>
      </c>
      <c r="D20" s="21">
        <v>3</v>
      </c>
      <c r="E20" s="2"/>
      <c r="F20" s="119" t="s">
        <v>9</v>
      </c>
      <c r="G20" s="30">
        <f>((230*16)*D20)/1000</f>
        <v>11.04</v>
      </c>
      <c r="H20" s="5">
        <v>1</v>
      </c>
      <c r="I20" s="29">
        <v>1</v>
      </c>
      <c r="J20" s="29">
        <v>0.3</v>
      </c>
      <c r="K20" s="29">
        <v>1</v>
      </c>
      <c r="L20" s="29">
        <v>1</v>
      </c>
      <c r="M20" s="30">
        <f>G20*J20</f>
        <v>3.3119999999999998</v>
      </c>
      <c r="N20" s="30">
        <f>M20*H20</f>
        <v>3.3119999999999998</v>
      </c>
      <c r="O20" s="30">
        <v>0</v>
      </c>
      <c r="P20" s="33"/>
      <c r="Q20" s="33"/>
      <c r="R20" s="33"/>
    </row>
    <row r="21" spans="2:18" x14ac:dyDescent="0.2">
      <c r="B21" s="33"/>
      <c r="C21" s="22">
        <v>1</v>
      </c>
      <c r="D21" s="22">
        <v>1</v>
      </c>
      <c r="E21" s="1"/>
      <c r="F21" s="120" t="s">
        <v>4</v>
      </c>
      <c r="G21" s="30">
        <f>(SQRT(3)*400*16*D21)/1000</f>
        <v>11.085125168440815</v>
      </c>
      <c r="H21" s="5">
        <v>1</v>
      </c>
      <c r="I21" s="29">
        <v>1</v>
      </c>
      <c r="J21" s="29">
        <v>0.3</v>
      </c>
      <c r="K21" s="29">
        <v>1</v>
      </c>
      <c r="L21" s="29">
        <v>1</v>
      </c>
      <c r="M21" s="30">
        <f>G21*I21*J21</f>
        <v>3.3255375505322444</v>
      </c>
      <c r="N21" s="30">
        <f>M21*H21</f>
        <v>3.3255375505322444</v>
      </c>
      <c r="O21" s="30">
        <v>0</v>
      </c>
      <c r="P21" s="33"/>
      <c r="Q21" s="33"/>
      <c r="R21" s="33"/>
    </row>
    <row r="22" spans="2:18" ht="15" customHeight="1" x14ac:dyDescent="0.2">
      <c r="B22" s="33"/>
      <c r="C22" s="22">
        <v>20</v>
      </c>
      <c r="D22" s="22"/>
      <c r="E22" s="1"/>
      <c r="F22" s="120" t="s">
        <v>5</v>
      </c>
      <c r="G22" s="23"/>
      <c r="H22" s="1">
        <v>0.86</v>
      </c>
      <c r="I22" s="22">
        <v>1</v>
      </c>
      <c r="J22" s="22">
        <v>1</v>
      </c>
      <c r="K22" s="22"/>
      <c r="L22" s="22">
        <f>1.25</f>
        <v>1.25</v>
      </c>
      <c r="M22" s="30">
        <f t="shared" ref="M22" si="2">SQRT(N22^2+O22^2)</f>
        <v>1.0465116279069766</v>
      </c>
      <c r="N22" s="24">
        <f>(0.036*C22*L22)</f>
        <v>0.89999999999999991</v>
      </c>
      <c r="O22" s="23">
        <f>N22*TAN(ACOS(H22))</f>
        <v>0.53402863906770992</v>
      </c>
      <c r="P22" s="33"/>
      <c r="Q22" s="33"/>
      <c r="R22" s="33"/>
    </row>
    <row r="23" spans="2:18" ht="15" customHeight="1" x14ac:dyDescent="0.2">
      <c r="B23" s="33"/>
      <c r="F23" s="33"/>
      <c r="G23" s="33"/>
      <c r="H23" s="33"/>
      <c r="I23" s="33"/>
      <c r="J23" s="33"/>
      <c r="K23" s="33"/>
      <c r="L23" s="33"/>
      <c r="M23" s="37">
        <f>SUM(M20:M22)</f>
        <v>7.6840491784392206</v>
      </c>
      <c r="N23" s="37">
        <f>SUM(N20:N22)</f>
        <v>7.5375375505322442</v>
      </c>
      <c r="O23" s="37">
        <f>SUM(O20:O22)</f>
        <v>0.53402863906770992</v>
      </c>
      <c r="P23" s="33"/>
      <c r="Q23" s="33"/>
      <c r="R23" s="33"/>
    </row>
    <row r="24" spans="2:18" x14ac:dyDescent="0.2">
      <c r="B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</row>
    <row r="25" spans="2:18" x14ac:dyDescent="0.2">
      <c r="B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spans="2:18" ht="15" x14ac:dyDescent="0.25">
      <c r="B26" s="33"/>
      <c r="C26" s="158" t="s">
        <v>208</v>
      </c>
      <c r="D26" s="159"/>
      <c r="E26" s="159"/>
      <c r="F26" s="160"/>
      <c r="G26" s="121"/>
      <c r="H26" s="121"/>
      <c r="I26" s="121"/>
      <c r="J26" s="121"/>
      <c r="K26" s="121"/>
      <c r="L26" s="121"/>
      <c r="M26" s="121"/>
      <c r="N26" s="121"/>
      <c r="O26" s="121"/>
      <c r="P26" s="33"/>
      <c r="Q26" s="33"/>
      <c r="R26" s="33"/>
    </row>
    <row r="27" spans="2:18" ht="15" x14ac:dyDescent="0.25">
      <c r="B27" s="33"/>
      <c r="C27" s="35" t="s">
        <v>0</v>
      </c>
      <c r="D27" s="35" t="s">
        <v>1</v>
      </c>
      <c r="E27" s="35" t="s">
        <v>2</v>
      </c>
      <c r="F27" s="35" t="s">
        <v>3</v>
      </c>
      <c r="G27" s="25" t="s">
        <v>81</v>
      </c>
      <c r="H27" s="26" t="s">
        <v>78</v>
      </c>
      <c r="I27" s="27" t="s">
        <v>6</v>
      </c>
      <c r="J27" s="27" t="s">
        <v>7</v>
      </c>
      <c r="K27" s="27" t="s">
        <v>79</v>
      </c>
      <c r="L27" s="27" t="s">
        <v>80</v>
      </c>
      <c r="M27" s="25" t="s">
        <v>76</v>
      </c>
      <c r="N27" s="25" t="s">
        <v>8</v>
      </c>
      <c r="O27" s="25" t="s">
        <v>82</v>
      </c>
      <c r="P27" s="33"/>
      <c r="Q27" s="33"/>
      <c r="R27" s="33"/>
    </row>
    <row r="28" spans="2:18" x14ac:dyDescent="0.2">
      <c r="B28" s="33"/>
      <c r="C28" s="21">
        <v>14</v>
      </c>
      <c r="D28" s="21">
        <v>3</v>
      </c>
      <c r="E28" s="2"/>
      <c r="F28" s="119" t="s">
        <v>9</v>
      </c>
      <c r="G28" s="23">
        <f>((230*16)*D28)/1000</f>
        <v>11.04</v>
      </c>
      <c r="H28" s="1">
        <v>1</v>
      </c>
      <c r="I28" s="22">
        <v>1</v>
      </c>
      <c r="J28" s="22">
        <v>0.3</v>
      </c>
      <c r="K28" s="22">
        <v>1</v>
      </c>
      <c r="L28" s="22">
        <v>1</v>
      </c>
      <c r="M28" s="23">
        <f>G28*I28*J28</f>
        <v>3.3119999999999998</v>
      </c>
      <c r="N28" s="85">
        <f>M28*H28</f>
        <v>3.3119999999999998</v>
      </c>
      <c r="O28" s="23">
        <v>0</v>
      </c>
      <c r="P28" s="33"/>
      <c r="Q28" s="33"/>
      <c r="R28" s="33"/>
    </row>
    <row r="29" spans="2:18" x14ac:dyDescent="0.2">
      <c r="B29" s="33"/>
      <c r="C29" s="22">
        <v>1</v>
      </c>
      <c r="D29" s="22">
        <v>1</v>
      </c>
      <c r="E29" s="1"/>
      <c r="F29" s="120" t="s">
        <v>4</v>
      </c>
      <c r="G29" s="23">
        <f>(SQRT(3)*230*16*C29*D29)/1000</f>
        <v>6.373946971853468</v>
      </c>
      <c r="H29" s="1">
        <v>1</v>
      </c>
      <c r="I29" s="22">
        <v>1</v>
      </c>
      <c r="J29" s="22">
        <v>0.3</v>
      </c>
      <c r="K29" s="22">
        <v>1</v>
      </c>
      <c r="L29" s="22">
        <v>1</v>
      </c>
      <c r="M29" s="23">
        <f>G29*I29*J29</f>
        <v>1.9121840915560404</v>
      </c>
      <c r="N29" s="85">
        <f>M29*H29</f>
        <v>1.9121840915560404</v>
      </c>
      <c r="O29" s="23">
        <v>0</v>
      </c>
      <c r="P29" s="33"/>
      <c r="Q29" s="33"/>
      <c r="R29" s="33"/>
    </row>
    <row r="30" spans="2:18" x14ac:dyDescent="0.2">
      <c r="B30" s="33"/>
      <c r="C30" s="22">
        <v>20</v>
      </c>
      <c r="D30" s="22"/>
      <c r="E30" s="1"/>
      <c r="F30" s="120" t="s">
        <v>5</v>
      </c>
      <c r="G30" s="23">
        <f>M30</f>
        <v>1.0465116279069768</v>
      </c>
      <c r="H30" s="1">
        <v>0.86</v>
      </c>
      <c r="I30" s="22">
        <v>1</v>
      </c>
      <c r="J30" s="22">
        <v>1</v>
      </c>
      <c r="K30" s="22">
        <v>1</v>
      </c>
      <c r="L30" s="22">
        <v>1.25</v>
      </c>
      <c r="M30" s="30">
        <f t="shared" ref="M30" si="3">SQRT(N30^2+O30^2)</f>
        <v>1.0465116279069768</v>
      </c>
      <c r="N30" s="24">
        <f>(36*C30*L30)/1000</f>
        <v>0.9</v>
      </c>
      <c r="O30" s="23">
        <f>N30*TAN(ACOS(H30))</f>
        <v>0.53402863906771003</v>
      </c>
      <c r="P30" s="33"/>
      <c r="Q30" s="33"/>
      <c r="R30" s="33"/>
    </row>
    <row r="31" spans="2:18" ht="15" customHeight="1" x14ac:dyDescent="0.2">
      <c r="B31" s="33"/>
      <c r="C31" s="34"/>
      <c r="D31" s="34"/>
      <c r="E31" s="34"/>
      <c r="F31" s="34"/>
      <c r="G31" s="33"/>
      <c r="H31" s="33"/>
      <c r="I31" s="33"/>
      <c r="J31" s="33"/>
      <c r="K31" s="33"/>
      <c r="L31" s="33"/>
      <c r="M31" s="20">
        <f>SUM(M28:M30)</f>
        <v>6.2706957194630171</v>
      </c>
      <c r="N31" s="20">
        <f>SUM(N28:N30)</f>
        <v>6.1241840915560406</v>
      </c>
      <c r="O31" s="20">
        <f>SUM(O28:O30)</f>
        <v>0.53402863906771003</v>
      </c>
      <c r="P31" s="33"/>
      <c r="Q31" s="33"/>
      <c r="R31" s="33"/>
    </row>
    <row r="32" spans="2:18" x14ac:dyDescent="0.2">
      <c r="B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spans="2:18" x14ac:dyDescent="0.2">
      <c r="B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2:18" ht="15" x14ac:dyDescent="0.25">
      <c r="B34" s="33"/>
      <c r="C34" s="155" t="s">
        <v>209</v>
      </c>
      <c r="D34" s="156"/>
      <c r="E34" s="156"/>
      <c r="F34" s="157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5" spans="2:18" ht="15" x14ac:dyDescent="0.25">
      <c r="B35" s="33"/>
      <c r="C35" s="35" t="s">
        <v>0</v>
      </c>
      <c r="D35" s="35" t="s">
        <v>1</v>
      </c>
      <c r="E35" s="35" t="s">
        <v>2</v>
      </c>
      <c r="F35" s="35" t="s">
        <v>3</v>
      </c>
      <c r="G35" s="25" t="s">
        <v>81</v>
      </c>
      <c r="H35" s="26" t="s">
        <v>78</v>
      </c>
      <c r="I35" s="27" t="s">
        <v>6</v>
      </c>
      <c r="J35" s="27" t="s">
        <v>7</v>
      </c>
      <c r="K35" s="27" t="s">
        <v>79</v>
      </c>
      <c r="L35" s="27" t="s">
        <v>80</v>
      </c>
      <c r="M35" s="25" t="s">
        <v>76</v>
      </c>
      <c r="N35" s="25" t="s">
        <v>8</v>
      </c>
      <c r="O35" s="25" t="s">
        <v>82</v>
      </c>
      <c r="P35" s="33"/>
      <c r="Q35" s="33"/>
      <c r="R35" s="33"/>
    </row>
    <row r="36" spans="2:18" x14ac:dyDescent="0.2">
      <c r="B36" s="33"/>
      <c r="C36" s="21">
        <v>14</v>
      </c>
      <c r="D36" s="21">
        <v>3</v>
      </c>
      <c r="E36" s="2"/>
      <c r="F36" s="119" t="s">
        <v>9</v>
      </c>
      <c r="G36" s="23">
        <f>((230*16)*D36)/1000</f>
        <v>11.04</v>
      </c>
      <c r="H36" s="1">
        <v>1</v>
      </c>
      <c r="I36" s="22">
        <v>1</v>
      </c>
      <c r="J36" s="22">
        <v>0.3</v>
      </c>
      <c r="K36" s="22">
        <v>1</v>
      </c>
      <c r="L36" s="22">
        <v>1</v>
      </c>
      <c r="M36" s="23">
        <f>G36*I36*J36</f>
        <v>3.3119999999999998</v>
      </c>
      <c r="N36" s="85">
        <f>M36*H36</f>
        <v>3.3119999999999998</v>
      </c>
      <c r="O36" s="23">
        <v>0</v>
      </c>
      <c r="P36" s="33"/>
      <c r="Q36" s="33"/>
      <c r="R36" s="33"/>
    </row>
    <row r="37" spans="2:18" x14ac:dyDescent="0.2">
      <c r="B37" s="33"/>
      <c r="C37" s="22">
        <v>1</v>
      </c>
      <c r="D37" s="22">
        <v>1</v>
      </c>
      <c r="E37" s="1"/>
      <c r="F37" s="120" t="s">
        <v>4</v>
      </c>
      <c r="G37" s="23">
        <f>(SQRT(3)*230*16*C37*D37)/1000</f>
        <v>6.373946971853468</v>
      </c>
      <c r="H37" s="1">
        <v>1</v>
      </c>
      <c r="I37" s="22">
        <v>1</v>
      </c>
      <c r="J37" s="22">
        <v>0.3</v>
      </c>
      <c r="K37" s="22">
        <v>1</v>
      </c>
      <c r="L37" s="22">
        <v>1</v>
      </c>
      <c r="M37" s="23">
        <f>G37*I37*J37</f>
        <v>1.9121840915560404</v>
      </c>
      <c r="N37" s="85">
        <f>M37*H37</f>
        <v>1.9121840915560404</v>
      </c>
      <c r="O37" s="23">
        <v>0</v>
      </c>
      <c r="P37" s="33"/>
      <c r="Q37" s="33"/>
      <c r="R37" s="33"/>
    </row>
    <row r="38" spans="2:18" x14ac:dyDescent="0.2">
      <c r="B38" s="33"/>
      <c r="C38" s="22">
        <v>20</v>
      </c>
      <c r="D38" s="22"/>
      <c r="E38" s="1"/>
      <c r="F38" s="120" t="s">
        <v>5</v>
      </c>
      <c r="G38" s="23">
        <f>M38</f>
        <v>1.0465116279069768</v>
      </c>
      <c r="H38" s="1">
        <v>0.86</v>
      </c>
      <c r="I38" s="22">
        <v>1</v>
      </c>
      <c r="J38" s="22">
        <v>1</v>
      </c>
      <c r="K38" s="22">
        <v>1</v>
      </c>
      <c r="L38" s="22">
        <v>1.25</v>
      </c>
      <c r="M38" s="30">
        <f t="shared" ref="M38" si="4">SQRT(N38^2+O38^2)</f>
        <v>1.0465116279069768</v>
      </c>
      <c r="N38" s="24">
        <f>(36*C38*L38)/1000</f>
        <v>0.9</v>
      </c>
      <c r="O38" s="23">
        <f>N38*TAN(ACOS(H38))</f>
        <v>0.53402863906771003</v>
      </c>
      <c r="P38" s="33"/>
      <c r="Q38" s="33"/>
      <c r="R38" s="33"/>
    </row>
    <row r="39" spans="2:18" ht="15" customHeight="1" x14ac:dyDescent="0.2">
      <c r="B39" s="33"/>
      <c r="F39" s="33"/>
      <c r="G39" s="33"/>
      <c r="H39" s="33"/>
      <c r="I39" s="33"/>
      <c r="J39" s="33"/>
      <c r="K39" s="33"/>
      <c r="L39" s="33"/>
      <c r="M39" s="37">
        <f>SUM(M36:M38)</f>
        <v>6.2706957194630171</v>
      </c>
      <c r="N39" s="37">
        <f>SUM(N36:N38)</f>
        <v>6.1241840915560406</v>
      </c>
      <c r="O39" s="37">
        <f>SUM(O36:O38)</f>
        <v>0.53402863906771003</v>
      </c>
      <c r="P39" s="33"/>
      <c r="Q39" s="33"/>
      <c r="R39" s="33"/>
    </row>
    <row r="40" spans="2:18" x14ac:dyDescent="0.2">
      <c r="B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</row>
    <row r="41" spans="2:18" x14ac:dyDescent="0.2">
      <c r="B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</row>
    <row r="42" spans="2:18" ht="15" x14ac:dyDescent="0.25">
      <c r="B42" s="33"/>
      <c r="C42" s="158" t="s">
        <v>210</v>
      </c>
      <c r="D42" s="159"/>
      <c r="E42" s="159"/>
      <c r="F42" s="160"/>
      <c r="G42" s="121"/>
      <c r="H42" s="121"/>
      <c r="I42" s="121"/>
      <c r="J42" s="121"/>
      <c r="K42" s="121"/>
      <c r="L42" s="121"/>
      <c r="M42" s="121"/>
      <c r="N42" s="121"/>
      <c r="O42" s="121"/>
      <c r="P42" s="33"/>
      <c r="Q42" s="33"/>
      <c r="R42" s="33"/>
    </row>
    <row r="43" spans="2:18" ht="15" x14ac:dyDescent="0.25">
      <c r="B43" s="33"/>
      <c r="C43" s="35" t="s">
        <v>0</v>
      </c>
      <c r="D43" s="35" t="s">
        <v>1</v>
      </c>
      <c r="E43" s="35" t="s">
        <v>2</v>
      </c>
      <c r="F43" s="35" t="s">
        <v>3</v>
      </c>
      <c r="G43" s="25" t="s">
        <v>81</v>
      </c>
      <c r="H43" s="26" t="s">
        <v>78</v>
      </c>
      <c r="I43" s="27" t="s">
        <v>6</v>
      </c>
      <c r="J43" s="27" t="s">
        <v>7</v>
      </c>
      <c r="K43" s="27" t="s">
        <v>79</v>
      </c>
      <c r="L43" s="27" t="s">
        <v>80</v>
      </c>
      <c r="M43" s="25" t="s">
        <v>76</v>
      </c>
      <c r="N43" s="25" t="s">
        <v>8</v>
      </c>
      <c r="O43" s="25" t="s">
        <v>82</v>
      </c>
      <c r="P43" s="33"/>
      <c r="Q43" s="33"/>
      <c r="R43" s="33"/>
    </row>
    <row r="44" spans="2:18" x14ac:dyDescent="0.2">
      <c r="B44" s="33"/>
      <c r="C44" s="21">
        <v>14</v>
      </c>
      <c r="D44" s="21">
        <v>3</v>
      </c>
      <c r="E44" s="2"/>
      <c r="F44" s="119" t="s">
        <v>9</v>
      </c>
      <c r="G44" s="23">
        <f>((230*16)*D44)/1000</f>
        <v>11.04</v>
      </c>
      <c r="H44" s="1">
        <v>1</v>
      </c>
      <c r="I44" s="22">
        <v>1</v>
      </c>
      <c r="J44" s="22">
        <v>0.3</v>
      </c>
      <c r="K44" s="22">
        <v>1</v>
      </c>
      <c r="L44" s="22">
        <v>1</v>
      </c>
      <c r="M44" s="23">
        <f>G44*I44*J44</f>
        <v>3.3119999999999998</v>
      </c>
      <c r="N44" s="85">
        <f>M44*H44</f>
        <v>3.3119999999999998</v>
      </c>
      <c r="O44" s="23">
        <v>0</v>
      </c>
      <c r="P44" s="33"/>
      <c r="Q44" s="33"/>
      <c r="R44" s="33"/>
    </row>
    <row r="45" spans="2:18" x14ac:dyDescent="0.2">
      <c r="B45" s="33"/>
      <c r="C45" s="22">
        <v>1</v>
      </c>
      <c r="D45" s="22">
        <v>1</v>
      </c>
      <c r="E45" s="1"/>
      <c r="F45" s="120" t="s">
        <v>4</v>
      </c>
      <c r="G45" s="23">
        <f>(SQRT(3)*230*16*C45*D45)/1000</f>
        <v>6.373946971853468</v>
      </c>
      <c r="H45" s="1">
        <v>1</v>
      </c>
      <c r="I45" s="22">
        <v>1</v>
      </c>
      <c r="J45" s="22">
        <v>0.3</v>
      </c>
      <c r="K45" s="22">
        <v>1</v>
      </c>
      <c r="L45" s="22">
        <v>1</v>
      </c>
      <c r="M45" s="23">
        <f>G45*I45*J45</f>
        <v>1.9121840915560404</v>
      </c>
      <c r="N45" s="85">
        <f>M45*H45</f>
        <v>1.9121840915560404</v>
      </c>
      <c r="O45" s="23">
        <v>0</v>
      </c>
      <c r="P45" s="33"/>
      <c r="Q45" s="33"/>
      <c r="R45" s="33"/>
    </row>
    <row r="46" spans="2:18" x14ac:dyDescent="0.2">
      <c r="B46" s="33"/>
      <c r="C46" s="22">
        <v>20</v>
      </c>
      <c r="D46" s="22"/>
      <c r="E46" s="1"/>
      <c r="F46" s="120" t="s">
        <v>5</v>
      </c>
      <c r="G46" s="23">
        <f>M46</f>
        <v>1.0465116279069768</v>
      </c>
      <c r="H46" s="1">
        <v>0.86</v>
      </c>
      <c r="I46" s="22">
        <v>1</v>
      </c>
      <c r="J46" s="22">
        <v>1</v>
      </c>
      <c r="K46" s="22">
        <v>1</v>
      </c>
      <c r="L46" s="22">
        <v>1.25</v>
      </c>
      <c r="M46" s="30">
        <f t="shared" ref="M46" si="5">SQRT(N46^2+O46^2)</f>
        <v>1.0465116279069768</v>
      </c>
      <c r="N46" s="24">
        <f>(36*C46*L46)/1000</f>
        <v>0.9</v>
      </c>
      <c r="O46" s="23">
        <f>N46*TAN(ACOS(H46))</f>
        <v>0.53402863906771003</v>
      </c>
      <c r="P46" s="33"/>
      <c r="Q46" s="33"/>
      <c r="R46" s="33"/>
    </row>
    <row r="47" spans="2:18" ht="15" customHeight="1" x14ac:dyDescent="0.2">
      <c r="B47" s="33"/>
      <c r="C47" s="34"/>
      <c r="D47" s="34"/>
      <c r="E47" s="34"/>
      <c r="F47" s="34"/>
      <c r="G47" s="33"/>
      <c r="H47" s="33"/>
      <c r="I47" s="33"/>
      <c r="J47" s="33"/>
      <c r="K47" s="33"/>
      <c r="L47" s="33"/>
      <c r="M47" s="37">
        <f>SUM(M44:M46)</f>
        <v>6.2706957194630171</v>
      </c>
      <c r="N47" s="37">
        <f>SUM(N44:N46)</f>
        <v>6.1241840915560406</v>
      </c>
      <c r="O47" s="37">
        <f>SUM(O44:O46)</f>
        <v>0.53402863906771003</v>
      </c>
      <c r="P47" s="33"/>
      <c r="Q47" s="33"/>
      <c r="R47" s="33"/>
    </row>
    <row r="48" spans="2:18" x14ac:dyDescent="0.2">
      <c r="B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</row>
    <row r="49" spans="2:18" x14ac:dyDescent="0.2">
      <c r="B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</row>
    <row r="50" spans="2:18" ht="15" x14ac:dyDescent="0.25">
      <c r="B50" s="33"/>
      <c r="C50" s="161" t="s">
        <v>211</v>
      </c>
      <c r="D50" s="162"/>
      <c r="E50" s="162"/>
      <c r="F50" s="163"/>
      <c r="G50" s="34"/>
      <c r="H50" s="34"/>
      <c r="I50" s="34"/>
      <c r="J50" s="34"/>
      <c r="K50" s="34"/>
      <c r="L50" s="34"/>
      <c r="M50" s="34"/>
      <c r="N50" s="34"/>
      <c r="O50" s="34"/>
      <c r="P50" s="33"/>
      <c r="Q50" s="33"/>
      <c r="R50" s="33"/>
    </row>
    <row r="51" spans="2:18" ht="15" x14ac:dyDescent="0.25">
      <c r="B51" s="33"/>
      <c r="C51" s="36" t="s">
        <v>0</v>
      </c>
      <c r="D51" s="36" t="s">
        <v>1</v>
      </c>
      <c r="E51" s="36" t="s">
        <v>2</v>
      </c>
      <c r="F51" s="36" t="s">
        <v>3</v>
      </c>
      <c r="G51" s="25" t="s">
        <v>81</v>
      </c>
      <c r="H51" s="26" t="s">
        <v>78</v>
      </c>
      <c r="I51" s="27" t="s">
        <v>6</v>
      </c>
      <c r="J51" s="27" t="s">
        <v>7</v>
      </c>
      <c r="K51" s="27" t="s">
        <v>79</v>
      </c>
      <c r="L51" s="27" t="s">
        <v>80</v>
      </c>
      <c r="M51" s="25" t="s">
        <v>76</v>
      </c>
      <c r="N51" s="25" t="s">
        <v>8</v>
      </c>
      <c r="O51" s="25" t="s">
        <v>82</v>
      </c>
      <c r="P51" s="33"/>
      <c r="Q51" s="33"/>
      <c r="R51" s="33"/>
    </row>
    <row r="52" spans="2:18" x14ac:dyDescent="0.2">
      <c r="B52" s="33"/>
      <c r="C52" s="28"/>
      <c r="D52" s="28">
        <v>10</v>
      </c>
      <c r="E52" s="4"/>
      <c r="F52" s="95" t="s">
        <v>9</v>
      </c>
      <c r="G52" s="23">
        <f>((230*16)*D52)/1000</f>
        <v>36.799999999999997</v>
      </c>
      <c r="H52" s="1">
        <v>1</v>
      </c>
      <c r="I52" s="22">
        <v>1</v>
      </c>
      <c r="J52" s="22">
        <v>0.3</v>
      </c>
      <c r="K52" s="22">
        <v>1</v>
      </c>
      <c r="L52" s="22">
        <v>1</v>
      </c>
      <c r="M52" s="23">
        <f>G52*I52*J52</f>
        <v>11.04</v>
      </c>
      <c r="N52" s="85">
        <f>M52*H52</f>
        <v>11.04</v>
      </c>
      <c r="O52" s="23">
        <v>0</v>
      </c>
      <c r="P52" s="33"/>
      <c r="Q52" s="33"/>
      <c r="R52" s="33"/>
    </row>
    <row r="53" spans="2:18" x14ac:dyDescent="0.2">
      <c r="B53" s="33"/>
      <c r="C53" s="29"/>
      <c r="D53" s="29">
        <v>6</v>
      </c>
      <c r="E53" s="5"/>
      <c r="F53" s="97" t="s">
        <v>4</v>
      </c>
      <c r="G53" s="23">
        <f>(SQRT(3)*230*16*D53)/1000</f>
        <v>38.24368183112081</v>
      </c>
      <c r="H53" s="1">
        <v>1</v>
      </c>
      <c r="I53" s="22">
        <v>1</v>
      </c>
      <c r="J53" s="22">
        <v>0.3</v>
      </c>
      <c r="K53" s="22">
        <v>1</v>
      </c>
      <c r="L53" s="22">
        <v>1</v>
      </c>
      <c r="M53" s="23">
        <f>G53*I53*J53</f>
        <v>11.473104549336243</v>
      </c>
      <c r="N53" s="85">
        <f>M53*H53</f>
        <v>11.473104549336243</v>
      </c>
      <c r="O53" s="23">
        <v>0</v>
      </c>
      <c r="P53" s="33"/>
      <c r="Q53" s="33"/>
      <c r="R53" s="33"/>
    </row>
    <row r="54" spans="2:18" x14ac:dyDescent="0.2">
      <c r="B54" s="33"/>
      <c r="C54" s="29">
        <v>16</v>
      </c>
      <c r="D54" s="29"/>
      <c r="E54" s="5"/>
      <c r="F54" s="97" t="s">
        <v>5</v>
      </c>
      <c r="G54" s="23">
        <f>M54</f>
        <v>0.83720930232558133</v>
      </c>
      <c r="H54" s="1">
        <v>0.86</v>
      </c>
      <c r="I54" s="22">
        <v>1</v>
      </c>
      <c r="J54" s="22">
        <v>1</v>
      </c>
      <c r="K54" s="22">
        <v>1</v>
      </c>
      <c r="L54" s="22">
        <v>1.25</v>
      </c>
      <c r="M54" s="30">
        <f t="shared" ref="M54:M55" si="6">SQRT(N54^2+O54^2)</f>
        <v>0.83720930232558133</v>
      </c>
      <c r="N54" s="85">
        <f>(36*C54*L54)/1000</f>
        <v>0.72</v>
      </c>
      <c r="O54" s="23">
        <f>N54*TAN(ACOS(H54))</f>
        <v>0.42722291125416795</v>
      </c>
      <c r="P54" s="33"/>
      <c r="Q54" s="33"/>
      <c r="R54" s="33"/>
    </row>
    <row r="55" spans="2:18" x14ac:dyDescent="0.2">
      <c r="B55" s="33"/>
      <c r="C55" s="29">
        <v>1</v>
      </c>
      <c r="D55" s="29">
        <v>1</v>
      </c>
      <c r="E55" s="5">
        <v>1</v>
      </c>
      <c r="F55" s="97" t="s">
        <v>17</v>
      </c>
      <c r="G55" s="30">
        <f>M55</f>
        <v>2.5874999999999995</v>
      </c>
      <c r="H55" s="5">
        <v>0.8</v>
      </c>
      <c r="I55" s="29">
        <f>1</f>
        <v>1</v>
      </c>
      <c r="J55" s="29">
        <f>0.3</f>
        <v>0.3</v>
      </c>
      <c r="K55" s="31">
        <v>1</v>
      </c>
      <c r="L55" s="31">
        <v>1</v>
      </c>
      <c r="M55" s="30">
        <f t="shared" si="6"/>
        <v>2.5874999999999995</v>
      </c>
      <c r="N55" s="29">
        <f>6.9*I55*J55</f>
        <v>2.0699999999999998</v>
      </c>
      <c r="O55" s="30">
        <f>N55*TAN(ACOS(H55))</f>
        <v>1.5524999999999993</v>
      </c>
      <c r="P55" s="33"/>
      <c r="Q55" s="33"/>
      <c r="R55" s="33"/>
    </row>
    <row r="56" spans="2:18" ht="15" customHeight="1" x14ac:dyDescent="0.2">
      <c r="B56" s="33"/>
      <c r="C56" s="34"/>
      <c r="D56" s="34"/>
      <c r="E56" s="34"/>
      <c r="F56" s="34"/>
      <c r="G56" s="33"/>
      <c r="H56" s="33"/>
      <c r="I56" s="33"/>
      <c r="J56" s="33"/>
      <c r="K56" s="33"/>
      <c r="L56" s="33"/>
      <c r="M56" s="25">
        <f>SUM(M52:M55)</f>
        <v>25.937813851661822</v>
      </c>
      <c r="N56" s="25">
        <f>SUM(N52:N55)</f>
        <v>25.30310454933624</v>
      </c>
      <c r="O56" s="25">
        <f>SUM(O52:O55)</f>
        <v>1.9797229112541672</v>
      </c>
      <c r="P56" s="33"/>
      <c r="Q56" s="33"/>
      <c r="R56" s="33"/>
    </row>
    <row r="57" spans="2:18" x14ac:dyDescent="0.2">
      <c r="B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2:18" x14ac:dyDescent="0.2">
      <c r="B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</row>
    <row r="59" spans="2:18" ht="15" x14ac:dyDescent="0.25">
      <c r="B59" s="33"/>
      <c r="C59" s="155" t="s">
        <v>212</v>
      </c>
      <c r="D59" s="156"/>
      <c r="E59" s="156"/>
      <c r="F59" s="157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</row>
    <row r="60" spans="2:18" ht="15" x14ac:dyDescent="0.25">
      <c r="B60" s="33"/>
      <c r="C60" s="35" t="s">
        <v>0</v>
      </c>
      <c r="D60" s="35" t="s">
        <v>1</v>
      </c>
      <c r="E60" s="35" t="s">
        <v>2</v>
      </c>
      <c r="F60" s="35" t="s">
        <v>3</v>
      </c>
      <c r="G60" s="25" t="s">
        <v>81</v>
      </c>
      <c r="H60" s="26" t="s">
        <v>78</v>
      </c>
      <c r="I60" s="27" t="s">
        <v>6</v>
      </c>
      <c r="J60" s="27" t="s">
        <v>7</v>
      </c>
      <c r="K60" s="27" t="s">
        <v>79</v>
      </c>
      <c r="L60" s="27" t="s">
        <v>80</v>
      </c>
      <c r="M60" s="25" t="s">
        <v>76</v>
      </c>
      <c r="N60" s="25" t="s">
        <v>8</v>
      </c>
      <c r="O60" s="25" t="s">
        <v>82</v>
      </c>
      <c r="P60" s="33"/>
      <c r="Q60" s="33"/>
      <c r="R60" s="33"/>
    </row>
    <row r="61" spans="2:18" x14ac:dyDescent="0.2">
      <c r="B61" s="33"/>
      <c r="C61" s="21">
        <v>1</v>
      </c>
      <c r="D61" s="21">
        <v>13</v>
      </c>
      <c r="E61" s="2"/>
      <c r="F61" s="119" t="s">
        <v>9</v>
      </c>
      <c r="G61" s="23">
        <f>((230*16)*D61)/1000</f>
        <v>47.84</v>
      </c>
      <c r="H61" s="1">
        <v>1</v>
      </c>
      <c r="I61" s="22">
        <v>1</v>
      </c>
      <c r="J61" s="22">
        <v>0.3</v>
      </c>
      <c r="K61" s="22">
        <v>1</v>
      </c>
      <c r="L61" s="22">
        <v>1</v>
      </c>
      <c r="M61" s="23">
        <f>G61*I61*J61</f>
        <v>14.352</v>
      </c>
      <c r="N61" s="85">
        <f>M61*H61</f>
        <v>14.352</v>
      </c>
      <c r="O61" s="23">
        <v>0</v>
      </c>
      <c r="P61" s="33"/>
      <c r="Q61" s="33"/>
      <c r="R61" s="33"/>
    </row>
    <row r="62" spans="2:18" x14ac:dyDescent="0.2">
      <c r="B62" s="33"/>
      <c r="C62" s="22">
        <v>1</v>
      </c>
      <c r="D62" s="22">
        <v>10</v>
      </c>
      <c r="E62" s="1"/>
      <c r="F62" s="120" t="s">
        <v>4</v>
      </c>
      <c r="G62" s="23">
        <f>(SQRT(3)*230*16*D62)/1000</f>
        <v>63.739469718534679</v>
      </c>
      <c r="H62" s="1">
        <v>1</v>
      </c>
      <c r="I62" s="22">
        <v>1</v>
      </c>
      <c r="J62" s="22">
        <v>0.3</v>
      </c>
      <c r="K62" s="22">
        <v>1</v>
      </c>
      <c r="L62" s="22">
        <v>1</v>
      </c>
      <c r="M62" s="23">
        <f>G62*I62*J62</f>
        <v>19.121840915560401</v>
      </c>
      <c r="N62" s="85">
        <f>M62*H62</f>
        <v>19.121840915560401</v>
      </c>
      <c r="O62" s="23">
        <v>0</v>
      </c>
      <c r="P62" s="33"/>
      <c r="Q62" s="33"/>
      <c r="R62" s="33"/>
    </row>
    <row r="63" spans="2:18" x14ac:dyDescent="0.2">
      <c r="B63" s="33"/>
      <c r="C63" s="22">
        <v>16</v>
      </c>
      <c r="D63" s="22">
        <v>1</v>
      </c>
      <c r="E63" s="1"/>
      <c r="F63" s="120" t="s">
        <v>5</v>
      </c>
      <c r="G63" s="23">
        <f>M63</f>
        <v>0.83720930232558133</v>
      </c>
      <c r="H63" s="1">
        <v>0.86</v>
      </c>
      <c r="I63" s="22">
        <v>1</v>
      </c>
      <c r="J63" s="22">
        <v>1</v>
      </c>
      <c r="K63" s="22">
        <v>1</v>
      </c>
      <c r="L63" s="22">
        <v>1.25</v>
      </c>
      <c r="M63" s="30">
        <f t="shared" ref="M63" si="7">SQRT(N63^2+O63^2)</f>
        <v>0.83720930232558133</v>
      </c>
      <c r="N63" s="85">
        <f>(36*C63*L63)/1000</f>
        <v>0.72</v>
      </c>
      <c r="O63" s="23">
        <f>N63*TAN(ACOS(H63))</f>
        <v>0.42722291125416795</v>
      </c>
      <c r="P63" s="33"/>
      <c r="Q63" s="33"/>
      <c r="R63" s="33"/>
    </row>
    <row r="64" spans="2:18" ht="15" customHeight="1" x14ac:dyDescent="0.2">
      <c r="B64" s="33"/>
      <c r="F64" s="33"/>
      <c r="G64" s="33"/>
      <c r="H64" s="33"/>
      <c r="I64" s="33"/>
      <c r="J64" s="33"/>
      <c r="K64" s="33"/>
      <c r="L64" s="33"/>
      <c r="M64" s="25">
        <f>SUM(M61:M63)</f>
        <v>34.311050217885985</v>
      </c>
      <c r="N64" s="25">
        <f t="shared" ref="N64:O64" si="8">SUM(N61:N63)</f>
        <v>34.193840915560401</v>
      </c>
      <c r="O64" s="25">
        <f t="shared" si="8"/>
        <v>0.42722291125416795</v>
      </c>
      <c r="P64" s="33"/>
      <c r="Q64" s="33"/>
      <c r="R64" s="33"/>
    </row>
    <row r="65" spans="2:18" x14ac:dyDescent="0.2">
      <c r="B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</row>
    <row r="66" spans="2:18" x14ac:dyDescent="0.2">
      <c r="B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</row>
    <row r="67" spans="2:18" ht="15" x14ac:dyDescent="0.25">
      <c r="B67" s="33"/>
      <c r="C67" s="155" t="s">
        <v>213</v>
      </c>
      <c r="D67" s="156"/>
      <c r="E67" s="156"/>
      <c r="F67" s="157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</row>
    <row r="68" spans="2:18" ht="15" x14ac:dyDescent="0.25">
      <c r="B68" s="33"/>
      <c r="C68" s="35" t="s">
        <v>0</v>
      </c>
      <c r="D68" s="35" t="s">
        <v>1</v>
      </c>
      <c r="E68" s="35" t="s">
        <v>2</v>
      </c>
      <c r="F68" s="35" t="s">
        <v>3</v>
      </c>
      <c r="G68" s="25" t="s">
        <v>81</v>
      </c>
      <c r="H68" s="26" t="s">
        <v>78</v>
      </c>
      <c r="I68" s="27" t="s">
        <v>6</v>
      </c>
      <c r="J68" s="27" t="s">
        <v>7</v>
      </c>
      <c r="K68" s="27" t="s">
        <v>79</v>
      </c>
      <c r="L68" s="27" t="s">
        <v>80</v>
      </c>
      <c r="M68" s="25" t="s">
        <v>76</v>
      </c>
      <c r="N68" s="25" t="s">
        <v>8</v>
      </c>
      <c r="O68" s="25" t="s">
        <v>82</v>
      </c>
      <c r="P68" s="33"/>
      <c r="Q68" s="33"/>
      <c r="R68" s="33"/>
    </row>
    <row r="69" spans="2:18" x14ac:dyDescent="0.2">
      <c r="B69" s="33"/>
      <c r="C69" s="21">
        <v>20</v>
      </c>
      <c r="D69" s="21">
        <v>4</v>
      </c>
      <c r="E69" s="2"/>
      <c r="F69" s="119" t="s">
        <v>9</v>
      </c>
      <c r="G69" s="23">
        <f>((230*16)*D69)/1000</f>
        <v>14.72</v>
      </c>
      <c r="H69" s="1">
        <v>1</v>
      </c>
      <c r="I69" s="22">
        <v>1</v>
      </c>
      <c r="J69" s="22">
        <v>0.3</v>
      </c>
      <c r="K69" s="22">
        <v>1</v>
      </c>
      <c r="L69" s="22">
        <v>1</v>
      </c>
      <c r="M69" s="23">
        <f>G69*I69*J69</f>
        <v>4.4160000000000004</v>
      </c>
      <c r="N69" s="85">
        <f>M69*H69</f>
        <v>4.4160000000000004</v>
      </c>
      <c r="O69" s="23">
        <v>0</v>
      </c>
      <c r="P69" s="33"/>
      <c r="Q69" s="33"/>
      <c r="R69" s="33"/>
    </row>
    <row r="70" spans="2:18" x14ac:dyDescent="0.2">
      <c r="B70" s="33"/>
      <c r="C70" s="22">
        <v>1</v>
      </c>
      <c r="D70" s="22">
        <v>1</v>
      </c>
      <c r="E70" s="1"/>
      <c r="F70" s="120" t="s">
        <v>4</v>
      </c>
      <c r="G70" s="23">
        <f>(SQRT(3)*230*16*D70)/1000</f>
        <v>6.373946971853468</v>
      </c>
      <c r="H70" s="1">
        <v>1</v>
      </c>
      <c r="I70" s="22">
        <v>1</v>
      </c>
      <c r="J70" s="22">
        <v>0.3</v>
      </c>
      <c r="K70" s="22">
        <v>1</v>
      </c>
      <c r="L70" s="22">
        <v>1</v>
      </c>
      <c r="M70" s="23">
        <f>G70*I70*J70</f>
        <v>1.9121840915560404</v>
      </c>
      <c r="N70" s="85">
        <f>M70*H70</f>
        <v>1.9121840915560404</v>
      </c>
      <c r="O70" s="23">
        <v>0</v>
      </c>
      <c r="P70" s="33"/>
      <c r="Q70" s="33"/>
      <c r="R70" s="33"/>
    </row>
    <row r="71" spans="2:18" x14ac:dyDescent="0.2">
      <c r="B71" s="33"/>
      <c r="C71" s="22">
        <v>20</v>
      </c>
      <c r="D71" s="22"/>
      <c r="E71" s="1"/>
      <c r="F71" s="120" t="s">
        <v>5</v>
      </c>
      <c r="G71" s="23">
        <f>M71</f>
        <v>1.0465116279069768</v>
      </c>
      <c r="H71" s="1">
        <v>0.86</v>
      </c>
      <c r="I71" s="22">
        <v>1</v>
      </c>
      <c r="J71" s="22">
        <v>1</v>
      </c>
      <c r="K71" s="22">
        <v>1</v>
      </c>
      <c r="L71" s="22">
        <v>1.25</v>
      </c>
      <c r="M71" s="30">
        <f t="shared" ref="M71" si="9">SQRT(N71^2+O71^2)</f>
        <v>1.0465116279069768</v>
      </c>
      <c r="N71" s="85">
        <f>(36*C71*L71)/1000</f>
        <v>0.9</v>
      </c>
      <c r="O71" s="23">
        <f>N71*TAN(ACOS(H71))</f>
        <v>0.53402863906771003</v>
      </c>
      <c r="P71" s="33"/>
      <c r="Q71" s="33"/>
      <c r="R71" s="33"/>
    </row>
    <row r="72" spans="2:18" ht="15" customHeight="1" x14ac:dyDescent="0.2">
      <c r="B72" s="33"/>
      <c r="F72" s="33"/>
      <c r="G72" s="33"/>
      <c r="H72" s="33"/>
      <c r="I72" s="33"/>
      <c r="J72" s="33"/>
      <c r="K72" s="33"/>
      <c r="L72" s="33"/>
      <c r="M72" s="25">
        <f>SUM(M69:M71)</f>
        <v>7.3746957194630181</v>
      </c>
      <c r="N72" s="25">
        <f t="shared" ref="N72" si="10">SUM(N69:N71)</f>
        <v>7.2281840915560416</v>
      </c>
      <c r="O72" s="25">
        <f t="shared" ref="O72" si="11">SUM(O69:O71)</f>
        <v>0.53402863906771003</v>
      </c>
      <c r="P72" s="33"/>
      <c r="Q72" s="33"/>
      <c r="R72" s="33"/>
    </row>
    <row r="73" spans="2:18" x14ac:dyDescent="0.2">
      <c r="B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</row>
    <row r="74" spans="2:18" x14ac:dyDescent="0.2">
      <c r="B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</row>
    <row r="75" spans="2:18" ht="15" customHeight="1" x14ac:dyDescent="0.25">
      <c r="B75" s="33"/>
      <c r="C75" s="155" t="s">
        <v>214</v>
      </c>
      <c r="D75" s="156"/>
      <c r="E75" s="156"/>
      <c r="F75" s="157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</row>
    <row r="76" spans="2:18" ht="15" x14ac:dyDescent="0.25">
      <c r="B76" s="33"/>
      <c r="C76" s="35" t="s">
        <v>0</v>
      </c>
      <c r="D76" s="35" t="s">
        <v>1</v>
      </c>
      <c r="E76" s="35" t="s">
        <v>2</v>
      </c>
      <c r="F76" s="35" t="s">
        <v>3</v>
      </c>
      <c r="G76" s="25" t="s">
        <v>81</v>
      </c>
      <c r="H76" s="26" t="s">
        <v>78</v>
      </c>
      <c r="I76" s="27" t="s">
        <v>6</v>
      </c>
      <c r="J76" s="27" t="s">
        <v>7</v>
      </c>
      <c r="K76" s="27" t="s">
        <v>79</v>
      </c>
      <c r="L76" s="27" t="s">
        <v>80</v>
      </c>
      <c r="M76" s="25" t="s">
        <v>76</v>
      </c>
      <c r="N76" s="25" t="s">
        <v>8</v>
      </c>
      <c r="O76" s="25" t="s">
        <v>82</v>
      </c>
      <c r="P76" s="33"/>
      <c r="Q76" s="33"/>
      <c r="R76" s="33"/>
    </row>
    <row r="77" spans="2:18" x14ac:dyDescent="0.2">
      <c r="B77" s="33"/>
      <c r="C77" s="21">
        <v>20</v>
      </c>
      <c r="D77" s="21">
        <v>11</v>
      </c>
      <c r="E77" s="2"/>
      <c r="F77" s="119" t="s">
        <v>9</v>
      </c>
      <c r="G77" s="23">
        <f>((230*16)*D77)/1000</f>
        <v>40.479999999999997</v>
      </c>
      <c r="H77" s="1">
        <v>1</v>
      </c>
      <c r="I77" s="22">
        <v>1</v>
      </c>
      <c r="J77" s="22">
        <v>0.3</v>
      </c>
      <c r="K77" s="22">
        <v>1</v>
      </c>
      <c r="L77" s="22">
        <v>1</v>
      </c>
      <c r="M77" s="23">
        <f>G77*I77*J77</f>
        <v>12.143999999999998</v>
      </c>
      <c r="N77" s="85">
        <f>M77*H77</f>
        <v>12.143999999999998</v>
      </c>
      <c r="O77" s="23">
        <v>0</v>
      </c>
      <c r="P77" s="33"/>
      <c r="Q77" s="33"/>
      <c r="R77" s="33"/>
    </row>
    <row r="78" spans="2:18" x14ac:dyDescent="0.2">
      <c r="B78" s="33"/>
      <c r="C78" s="22">
        <v>1</v>
      </c>
      <c r="D78" s="22">
        <v>4</v>
      </c>
      <c r="E78" s="1"/>
      <c r="F78" s="120" t="s">
        <v>4</v>
      </c>
      <c r="G78" s="23">
        <f>(SQRT(3)*230*16*D78)/1000</f>
        <v>25.495787887413872</v>
      </c>
      <c r="H78" s="1">
        <v>1</v>
      </c>
      <c r="I78" s="22">
        <v>1</v>
      </c>
      <c r="J78" s="22">
        <v>0.3</v>
      </c>
      <c r="K78" s="22">
        <v>1</v>
      </c>
      <c r="L78" s="22">
        <v>1</v>
      </c>
      <c r="M78" s="23">
        <f>G78*I78*J78</f>
        <v>7.6487363662241616</v>
      </c>
      <c r="N78" s="85">
        <f>M78*H78</f>
        <v>7.6487363662241616</v>
      </c>
      <c r="O78" s="23">
        <v>0</v>
      </c>
      <c r="P78" s="33"/>
      <c r="Q78" s="33"/>
      <c r="R78" s="33"/>
    </row>
    <row r="79" spans="2:18" x14ac:dyDescent="0.2">
      <c r="B79" s="33"/>
      <c r="C79" s="22">
        <v>20</v>
      </c>
      <c r="D79" s="22"/>
      <c r="E79" s="1"/>
      <c r="F79" s="120" t="s">
        <v>5</v>
      </c>
      <c r="G79" s="23">
        <f>M79</f>
        <v>1.0465116279069768</v>
      </c>
      <c r="H79" s="1">
        <v>0.86</v>
      </c>
      <c r="I79" s="22">
        <v>1</v>
      </c>
      <c r="J79" s="22">
        <v>1</v>
      </c>
      <c r="K79" s="22">
        <v>1</v>
      </c>
      <c r="L79" s="22">
        <v>1.25</v>
      </c>
      <c r="M79" s="30">
        <f t="shared" ref="M79" si="12">SQRT(N79^2+O79^2)</f>
        <v>1.0465116279069768</v>
      </c>
      <c r="N79" s="85">
        <f>(36*C79*L79)/1000</f>
        <v>0.9</v>
      </c>
      <c r="O79" s="23">
        <f>N79*TAN(ACOS(H79))</f>
        <v>0.53402863906771003</v>
      </c>
      <c r="P79" s="33"/>
      <c r="Q79" s="33"/>
      <c r="R79" s="33"/>
    </row>
    <row r="80" spans="2:18" ht="15" customHeight="1" x14ac:dyDescent="0.2">
      <c r="B80" s="33"/>
      <c r="F80" s="33"/>
      <c r="G80" s="33"/>
      <c r="H80" s="33"/>
      <c r="I80" s="33"/>
      <c r="J80" s="33"/>
      <c r="K80" s="33"/>
      <c r="L80" s="33"/>
      <c r="M80" s="25">
        <f>SUM(M77:M79)</f>
        <v>20.839247994131139</v>
      </c>
      <c r="N80" s="25">
        <f t="shared" ref="N80" si="13">SUM(N77:N79)</f>
        <v>20.69273636622416</v>
      </c>
      <c r="O80" s="25">
        <f t="shared" ref="O80" si="14">SUM(O77:O79)</f>
        <v>0.53402863906771003</v>
      </c>
      <c r="P80" s="33"/>
      <c r="Q80" s="33"/>
      <c r="R80" s="33"/>
    </row>
    <row r="81" spans="2:18" x14ac:dyDescent="0.2">
      <c r="B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</row>
    <row r="82" spans="2:18" x14ac:dyDescent="0.2">
      <c r="B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</row>
    <row r="83" spans="2:18" ht="15" customHeight="1" x14ac:dyDescent="0.25">
      <c r="B83" s="33"/>
      <c r="C83" s="155" t="s">
        <v>215</v>
      </c>
      <c r="D83" s="156"/>
      <c r="E83" s="156"/>
      <c r="F83" s="157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</row>
    <row r="84" spans="2:18" ht="15" x14ac:dyDescent="0.25">
      <c r="B84" s="33"/>
      <c r="C84" s="35" t="s">
        <v>0</v>
      </c>
      <c r="D84" s="35" t="s">
        <v>1</v>
      </c>
      <c r="E84" s="35" t="s">
        <v>2</v>
      </c>
      <c r="F84" s="35" t="s">
        <v>3</v>
      </c>
      <c r="G84" s="25" t="s">
        <v>81</v>
      </c>
      <c r="H84" s="26" t="s">
        <v>78</v>
      </c>
      <c r="I84" s="27" t="s">
        <v>6</v>
      </c>
      <c r="J84" s="27" t="s">
        <v>7</v>
      </c>
      <c r="K84" s="27" t="s">
        <v>79</v>
      </c>
      <c r="L84" s="27" t="s">
        <v>80</v>
      </c>
      <c r="M84" s="25" t="s">
        <v>76</v>
      </c>
      <c r="N84" s="25" t="s">
        <v>8</v>
      </c>
      <c r="O84" s="25" t="s">
        <v>82</v>
      </c>
      <c r="P84" s="33"/>
      <c r="Q84" s="33"/>
      <c r="R84" s="33"/>
    </row>
    <row r="85" spans="2:18" x14ac:dyDescent="0.2">
      <c r="B85" s="33"/>
      <c r="C85" s="21">
        <v>20</v>
      </c>
      <c r="D85" s="21">
        <v>11</v>
      </c>
      <c r="E85" s="2"/>
      <c r="F85" s="119" t="s">
        <v>9</v>
      </c>
      <c r="G85" s="23">
        <f>((230*16)*D85)/1000</f>
        <v>40.479999999999997</v>
      </c>
      <c r="H85" s="1">
        <v>1</v>
      </c>
      <c r="I85" s="22">
        <v>1</v>
      </c>
      <c r="J85" s="22">
        <v>0.3</v>
      </c>
      <c r="K85" s="22">
        <v>1</v>
      </c>
      <c r="L85" s="22">
        <v>1</v>
      </c>
      <c r="M85" s="23">
        <f>G85*I85*J85</f>
        <v>12.143999999999998</v>
      </c>
      <c r="N85" s="85">
        <f>M85*H85</f>
        <v>12.143999999999998</v>
      </c>
      <c r="O85" s="23">
        <v>0</v>
      </c>
      <c r="P85" s="33"/>
      <c r="Q85" s="33"/>
      <c r="R85" s="33"/>
    </row>
    <row r="86" spans="2:18" x14ac:dyDescent="0.2">
      <c r="B86" s="33"/>
      <c r="C86" s="22">
        <v>1</v>
      </c>
      <c r="D86" s="22">
        <v>4</v>
      </c>
      <c r="E86" s="1"/>
      <c r="F86" s="120" t="s">
        <v>4</v>
      </c>
      <c r="G86" s="23">
        <f>(SQRT(3)*230*16*D86)/1000</f>
        <v>25.495787887413872</v>
      </c>
      <c r="H86" s="1">
        <v>1</v>
      </c>
      <c r="I86" s="22">
        <v>1</v>
      </c>
      <c r="J86" s="22">
        <v>0.3</v>
      </c>
      <c r="K86" s="22">
        <v>1</v>
      </c>
      <c r="L86" s="22">
        <v>1</v>
      </c>
      <c r="M86" s="23">
        <f>G86*I86*J86</f>
        <v>7.6487363662241616</v>
      </c>
      <c r="N86" s="85">
        <f>M86*H86</f>
        <v>7.6487363662241616</v>
      </c>
      <c r="O86" s="23">
        <v>0</v>
      </c>
      <c r="P86" s="33"/>
      <c r="Q86" s="33"/>
      <c r="R86" s="33"/>
    </row>
    <row r="87" spans="2:18" x14ac:dyDescent="0.2">
      <c r="B87" s="33"/>
      <c r="C87" s="22">
        <v>20</v>
      </c>
      <c r="D87" s="22"/>
      <c r="E87" s="1"/>
      <c r="F87" s="120" t="s">
        <v>5</v>
      </c>
      <c r="G87" s="23">
        <f>M87</f>
        <v>1.0465116279069768</v>
      </c>
      <c r="H87" s="1">
        <v>0.86</v>
      </c>
      <c r="I87" s="22">
        <v>1</v>
      </c>
      <c r="J87" s="22">
        <v>1</v>
      </c>
      <c r="K87" s="22">
        <v>1</v>
      </c>
      <c r="L87" s="22">
        <v>1.25</v>
      </c>
      <c r="M87" s="30">
        <f t="shared" ref="M87" si="15">SQRT(N87^2+O87^2)</f>
        <v>1.0465116279069768</v>
      </c>
      <c r="N87" s="85">
        <f>(36*C87*L87)/1000</f>
        <v>0.9</v>
      </c>
      <c r="O87" s="23">
        <f>N87*TAN(ACOS(H87))</f>
        <v>0.53402863906771003</v>
      </c>
      <c r="P87" s="33"/>
      <c r="Q87" s="33"/>
      <c r="R87" s="33"/>
    </row>
    <row r="88" spans="2:18" ht="15" customHeight="1" x14ac:dyDescent="0.2">
      <c r="B88" s="33"/>
      <c r="F88" s="33"/>
      <c r="G88" s="33"/>
      <c r="H88" s="33"/>
      <c r="I88" s="33"/>
      <c r="J88" s="33"/>
      <c r="K88" s="33"/>
      <c r="L88" s="33"/>
      <c r="M88" s="25">
        <f>SUM(M85:M87)</f>
        <v>20.839247994131139</v>
      </c>
      <c r="N88" s="25">
        <f t="shared" ref="N88" si="16">SUM(N85:N87)</f>
        <v>20.69273636622416</v>
      </c>
      <c r="O88" s="25">
        <f t="shared" ref="O88" si="17">SUM(O85:O87)</f>
        <v>0.53402863906771003</v>
      </c>
      <c r="P88" s="33"/>
      <c r="Q88" s="33"/>
      <c r="R88" s="33"/>
    </row>
    <row r="89" spans="2:18" x14ac:dyDescent="0.2">
      <c r="B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</row>
    <row r="90" spans="2:18" x14ac:dyDescent="0.2">
      <c r="B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</row>
    <row r="91" spans="2:18" ht="15" x14ac:dyDescent="0.25">
      <c r="B91" s="33"/>
      <c r="C91" s="155" t="s">
        <v>216</v>
      </c>
      <c r="D91" s="156"/>
      <c r="E91" s="156"/>
      <c r="F91" s="157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</row>
    <row r="92" spans="2:18" ht="15" x14ac:dyDescent="0.25">
      <c r="B92" s="33"/>
      <c r="C92" s="35" t="s">
        <v>0</v>
      </c>
      <c r="D92" s="35" t="s">
        <v>1</v>
      </c>
      <c r="E92" s="35" t="s">
        <v>2</v>
      </c>
      <c r="F92" s="35" t="s">
        <v>3</v>
      </c>
      <c r="G92" s="25" t="s">
        <v>81</v>
      </c>
      <c r="H92" s="26" t="s">
        <v>78</v>
      </c>
      <c r="I92" s="27" t="s">
        <v>6</v>
      </c>
      <c r="J92" s="27" t="s">
        <v>7</v>
      </c>
      <c r="K92" s="27" t="s">
        <v>79</v>
      </c>
      <c r="L92" s="27" t="s">
        <v>80</v>
      </c>
      <c r="M92" s="25" t="s">
        <v>76</v>
      </c>
      <c r="N92" s="25" t="s">
        <v>8</v>
      </c>
      <c r="O92" s="25" t="s">
        <v>82</v>
      </c>
      <c r="P92" s="33"/>
      <c r="Q92" s="33"/>
      <c r="R92" s="33"/>
    </row>
    <row r="93" spans="2:18" x14ac:dyDescent="0.2">
      <c r="B93" s="33"/>
      <c r="C93" s="21">
        <v>4</v>
      </c>
      <c r="D93" s="21">
        <v>1</v>
      </c>
      <c r="E93" s="2"/>
      <c r="F93" s="119" t="s">
        <v>9</v>
      </c>
      <c r="G93" s="23">
        <f>((230*16)*D93)/1000</f>
        <v>3.68</v>
      </c>
      <c r="H93" s="1">
        <v>1</v>
      </c>
      <c r="I93" s="22">
        <v>1</v>
      </c>
      <c r="J93" s="22">
        <v>0.3</v>
      </c>
      <c r="K93" s="22">
        <v>1</v>
      </c>
      <c r="L93" s="22">
        <v>1</v>
      </c>
      <c r="M93" s="23">
        <f>G93*I93*J93</f>
        <v>1.1040000000000001</v>
      </c>
      <c r="N93" s="85">
        <f>M93*H93</f>
        <v>1.1040000000000001</v>
      </c>
      <c r="O93" s="23">
        <v>0</v>
      </c>
      <c r="P93" s="33"/>
      <c r="Q93" s="33"/>
      <c r="R93" s="33"/>
    </row>
    <row r="94" spans="2:18" x14ac:dyDescent="0.2">
      <c r="B94" s="33"/>
      <c r="C94" s="22">
        <v>1</v>
      </c>
      <c r="D94" s="22">
        <v>1</v>
      </c>
      <c r="E94" s="1"/>
      <c r="F94" s="120" t="s">
        <v>4</v>
      </c>
      <c r="G94" s="23">
        <f>(SQRT(3)*230*16*D94)/1000</f>
        <v>6.373946971853468</v>
      </c>
      <c r="H94" s="1">
        <v>1</v>
      </c>
      <c r="I94" s="22">
        <v>1</v>
      </c>
      <c r="J94" s="22">
        <v>0.3</v>
      </c>
      <c r="K94" s="22">
        <v>1</v>
      </c>
      <c r="L94" s="22">
        <v>1</v>
      </c>
      <c r="M94" s="23">
        <f>G94*I94*J94</f>
        <v>1.9121840915560404</v>
      </c>
      <c r="N94" s="85">
        <f>M94*H94</f>
        <v>1.9121840915560404</v>
      </c>
      <c r="O94" s="23">
        <v>0</v>
      </c>
      <c r="P94" s="33"/>
      <c r="Q94" s="33"/>
      <c r="R94" s="33"/>
    </row>
    <row r="95" spans="2:18" x14ac:dyDescent="0.2">
      <c r="B95" s="33"/>
      <c r="C95" s="22">
        <v>20</v>
      </c>
      <c r="D95" s="22"/>
      <c r="E95" s="1"/>
      <c r="F95" s="120" t="s">
        <v>5</v>
      </c>
      <c r="G95" s="23">
        <f>M95</f>
        <v>1.0465116279069768</v>
      </c>
      <c r="H95" s="1">
        <v>0.86</v>
      </c>
      <c r="I95" s="22">
        <v>1</v>
      </c>
      <c r="J95" s="22">
        <v>1</v>
      </c>
      <c r="K95" s="22">
        <v>1</v>
      </c>
      <c r="L95" s="22">
        <v>1.25</v>
      </c>
      <c r="M95" s="30">
        <f t="shared" ref="M95:M96" si="18">SQRT(N95^2+O95^2)</f>
        <v>1.0465116279069768</v>
      </c>
      <c r="N95" s="85">
        <f>(36*C95*L95)/1000</f>
        <v>0.9</v>
      </c>
      <c r="O95" s="23">
        <f>N95*TAN(ACOS(H95))</f>
        <v>0.53402863906771003</v>
      </c>
      <c r="P95" s="33"/>
      <c r="Q95" s="33"/>
      <c r="R95" s="33"/>
    </row>
    <row r="96" spans="2:18" x14ac:dyDescent="0.2">
      <c r="B96" s="33"/>
      <c r="C96" s="24"/>
      <c r="D96" s="24"/>
      <c r="E96" s="24">
        <v>1</v>
      </c>
      <c r="F96" s="122" t="s">
        <v>10</v>
      </c>
      <c r="G96" s="85">
        <f>M96</f>
        <v>15.325670498084289</v>
      </c>
      <c r="H96" s="24">
        <v>0.87</v>
      </c>
      <c r="I96" s="24">
        <v>0.8</v>
      </c>
      <c r="J96" s="24">
        <v>1</v>
      </c>
      <c r="K96" s="24">
        <v>1</v>
      </c>
      <c r="L96" s="24">
        <v>1</v>
      </c>
      <c r="M96" s="30">
        <f t="shared" si="18"/>
        <v>15.325670498084289</v>
      </c>
      <c r="N96" s="85">
        <f>15*I96/0.9</f>
        <v>13.333333333333332</v>
      </c>
      <c r="O96" s="23">
        <f>N96*TAN(ACOS(H96))</f>
        <v>7.5563482210703734</v>
      </c>
      <c r="P96" s="33"/>
      <c r="Q96" s="33"/>
      <c r="R96" s="33"/>
    </row>
    <row r="97" spans="2:18" ht="15" customHeight="1" x14ac:dyDescent="0.2">
      <c r="B97" s="33"/>
      <c r="F97" s="33"/>
      <c r="G97" s="33"/>
      <c r="H97" s="33"/>
      <c r="I97" s="33"/>
      <c r="J97" s="33"/>
      <c r="K97" s="33"/>
      <c r="L97" s="33"/>
      <c r="M97" s="38">
        <f>SUM(M93:M96)</f>
        <v>19.388366217547308</v>
      </c>
      <c r="N97" s="38">
        <f>SUM(N93:N96)</f>
        <v>17.249517424889373</v>
      </c>
      <c r="O97" s="38">
        <f>SUM(O93:O96)</f>
        <v>8.0903768601380825</v>
      </c>
      <c r="P97" s="33"/>
      <c r="Q97" s="33"/>
      <c r="R97" s="33"/>
    </row>
    <row r="98" spans="2:18" x14ac:dyDescent="0.2">
      <c r="B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</row>
    <row r="99" spans="2:18" x14ac:dyDescent="0.2">
      <c r="B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</row>
    <row r="100" spans="2:18" ht="15" x14ac:dyDescent="0.25">
      <c r="B100" s="33"/>
      <c r="C100" s="155" t="s">
        <v>217</v>
      </c>
      <c r="D100" s="156"/>
      <c r="E100" s="156"/>
      <c r="F100" s="157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</row>
    <row r="101" spans="2:18" ht="15" x14ac:dyDescent="0.25">
      <c r="B101" s="33"/>
      <c r="C101" s="35" t="s">
        <v>0</v>
      </c>
      <c r="D101" s="35" t="s">
        <v>1</v>
      </c>
      <c r="E101" s="35" t="s">
        <v>2</v>
      </c>
      <c r="F101" s="35" t="s">
        <v>3</v>
      </c>
      <c r="G101" s="25" t="s">
        <v>81</v>
      </c>
      <c r="H101" s="26" t="s">
        <v>78</v>
      </c>
      <c r="I101" s="27" t="s">
        <v>6</v>
      </c>
      <c r="J101" s="27" t="s">
        <v>7</v>
      </c>
      <c r="K101" s="27" t="s">
        <v>79</v>
      </c>
      <c r="L101" s="27" t="s">
        <v>80</v>
      </c>
      <c r="M101" s="25" t="s">
        <v>76</v>
      </c>
      <c r="N101" s="25" t="s">
        <v>8</v>
      </c>
      <c r="O101" s="25" t="s">
        <v>82</v>
      </c>
      <c r="P101" s="33"/>
      <c r="Q101" s="33"/>
      <c r="R101" s="33"/>
    </row>
    <row r="102" spans="2:18" x14ac:dyDescent="0.2">
      <c r="B102" s="33"/>
      <c r="C102" s="21">
        <v>8</v>
      </c>
      <c r="D102" s="21">
        <v>2</v>
      </c>
      <c r="E102" s="2"/>
      <c r="F102" s="119" t="s">
        <v>9</v>
      </c>
      <c r="G102" s="23">
        <f>((230*16)*D102)/1000</f>
        <v>7.36</v>
      </c>
      <c r="H102" s="1">
        <v>1</v>
      </c>
      <c r="I102" s="22">
        <v>1</v>
      </c>
      <c r="J102" s="22">
        <v>0.3</v>
      </c>
      <c r="K102" s="22">
        <v>1</v>
      </c>
      <c r="L102" s="22">
        <v>1</v>
      </c>
      <c r="M102" s="23">
        <f>G102*I102*J102</f>
        <v>2.2080000000000002</v>
      </c>
      <c r="N102" s="85">
        <f>M102*H102</f>
        <v>2.2080000000000002</v>
      </c>
      <c r="O102" s="23">
        <v>0</v>
      </c>
      <c r="P102" s="33"/>
      <c r="Q102" s="33"/>
      <c r="R102" s="33"/>
    </row>
    <row r="103" spans="2:18" x14ac:dyDescent="0.2">
      <c r="B103" s="33"/>
      <c r="C103" s="22">
        <v>1</v>
      </c>
      <c r="D103" s="22">
        <v>1</v>
      </c>
      <c r="E103" s="1"/>
      <c r="F103" s="120" t="s">
        <v>4</v>
      </c>
      <c r="G103" s="23">
        <f>(SQRT(3)*230*16*D103)/1000</f>
        <v>6.373946971853468</v>
      </c>
      <c r="H103" s="1">
        <v>1</v>
      </c>
      <c r="I103" s="22">
        <v>1</v>
      </c>
      <c r="J103" s="22">
        <v>0.3</v>
      </c>
      <c r="K103" s="22">
        <v>1</v>
      </c>
      <c r="L103" s="22">
        <v>1</v>
      </c>
      <c r="M103" s="23">
        <f>G103*I103*J103</f>
        <v>1.9121840915560404</v>
      </c>
      <c r="N103" s="85">
        <f>M103*H103</f>
        <v>1.9121840915560404</v>
      </c>
      <c r="O103" s="23">
        <v>0</v>
      </c>
      <c r="P103" s="33"/>
      <c r="Q103" s="33"/>
      <c r="R103" s="33"/>
    </row>
    <row r="104" spans="2:18" x14ac:dyDescent="0.2">
      <c r="B104" s="33"/>
      <c r="C104" s="22">
        <v>2</v>
      </c>
      <c r="D104" s="22"/>
      <c r="E104" s="1"/>
      <c r="F104" s="120" t="s">
        <v>5</v>
      </c>
      <c r="G104" s="23">
        <f>M104</f>
        <v>0.10465116279069767</v>
      </c>
      <c r="H104" s="1">
        <v>0.86</v>
      </c>
      <c r="I104" s="22">
        <v>1</v>
      </c>
      <c r="J104" s="22">
        <v>1</v>
      </c>
      <c r="K104" s="22">
        <v>1</v>
      </c>
      <c r="L104" s="22">
        <v>1.25</v>
      </c>
      <c r="M104" s="30">
        <f t="shared" ref="M104" si="19">SQRT(N104^2+O104^2)</f>
        <v>0.10465116279069767</v>
      </c>
      <c r="N104" s="85">
        <f>(36*C104*L104)/1000</f>
        <v>0.09</v>
      </c>
      <c r="O104" s="23">
        <f>N104*TAN(ACOS(H104))</f>
        <v>5.3402863906770993E-2</v>
      </c>
      <c r="P104" s="33"/>
      <c r="Q104" s="33"/>
      <c r="R104" s="33"/>
    </row>
    <row r="105" spans="2:18" ht="15" customHeight="1" x14ac:dyDescent="0.2">
      <c r="B105" s="33"/>
      <c r="F105" s="33"/>
      <c r="G105" s="33"/>
      <c r="H105" s="33"/>
      <c r="I105" s="33"/>
      <c r="J105" s="33"/>
      <c r="K105" s="33"/>
      <c r="L105" s="33"/>
      <c r="M105" s="25">
        <f>SUM(M102:M104)</f>
        <v>4.2248352543467389</v>
      </c>
      <c r="N105" s="25">
        <f t="shared" ref="N105" si="20">SUM(N102:N104)</f>
        <v>4.2101840915560409</v>
      </c>
      <c r="O105" s="25">
        <f t="shared" ref="O105" si="21">SUM(O102:O104)</f>
        <v>5.3402863906770993E-2</v>
      </c>
      <c r="P105" s="33"/>
      <c r="Q105" s="33"/>
      <c r="R105" s="33"/>
    </row>
    <row r="106" spans="2:18" x14ac:dyDescent="0.2">
      <c r="B106" s="33"/>
      <c r="C106" s="32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</row>
    <row r="107" spans="2:18" x14ac:dyDescent="0.2">
      <c r="B107" s="33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3"/>
      <c r="Q107" s="33"/>
      <c r="R107" s="33"/>
    </row>
    <row r="108" spans="2:18" ht="15" x14ac:dyDescent="0.25">
      <c r="B108" s="33"/>
      <c r="C108" s="161" t="s">
        <v>218</v>
      </c>
      <c r="D108" s="162"/>
      <c r="E108" s="162"/>
      <c r="F108" s="163"/>
      <c r="G108" s="34"/>
      <c r="H108" s="34"/>
      <c r="I108" s="34"/>
      <c r="J108" s="34"/>
      <c r="K108" s="34"/>
      <c r="L108" s="34"/>
      <c r="M108" s="34"/>
      <c r="N108" s="34"/>
      <c r="O108" s="34"/>
      <c r="P108" s="33"/>
      <c r="Q108" s="33"/>
      <c r="R108" s="33"/>
    </row>
    <row r="109" spans="2:18" ht="15" x14ac:dyDescent="0.25">
      <c r="B109" s="33"/>
      <c r="C109" s="36" t="s">
        <v>0</v>
      </c>
      <c r="D109" s="36" t="s">
        <v>1</v>
      </c>
      <c r="E109" s="36" t="s">
        <v>2</v>
      </c>
      <c r="F109" s="36" t="s">
        <v>3</v>
      </c>
      <c r="G109" s="25" t="s">
        <v>81</v>
      </c>
      <c r="H109" s="26" t="s">
        <v>78</v>
      </c>
      <c r="I109" s="27" t="s">
        <v>6</v>
      </c>
      <c r="J109" s="27" t="s">
        <v>7</v>
      </c>
      <c r="K109" s="27" t="s">
        <v>79</v>
      </c>
      <c r="L109" s="27" t="s">
        <v>80</v>
      </c>
      <c r="M109" s="25" t="s">
        <v>76</v>
      </c>
      <c r="N109" s="25" t="s">
        <v>8</v>
      </c>
      <c r="O109" s="25" t="s">
        <v>82</v>
      </c>
      <c r="P109" s="33"/>
      <c r="Q109" s="33"/>
      <c r="R109" s="33"/>
    </row>
    <row r="110" spans="2:18" x14ac:dyDescent="0.2">
      <c r="B110" s="33"/>
      <c r="C110" s="28"/>
      <c r="D110" s="28">
        <v>5</v>
      </c>
      <c r="E110" s="4"/>
      <c r="F110" s="95" t="s">
        <v>9</v>
      </c>
      <c r="G110" s="30">
        <f>((230*16)*D110)/1000</f>
        <v>18.399999999999999</v>
      </c>
      <c r="H110" s="5">
        <v>1</v>
      </c>
      <c r="I110" s="29">
        <v>1</v>
      </c>
      <c r="J110" s="29">
        <v>0.3</v>
      </c>
      <c r="K110" s="29">
        <v>1</v>
      </c>
      <c r="L110" s="29">
        <v>1</v>
      </c>
      <c r="M110" s="30">
        <f>G110*I110*J110</f>
        <v>5.52</v>
      </c>
      <c r="N110" s="30">
        <f>M110*H110</f>
        <v>5.52</v>
      </c>
      <c r="O110" s="30">
        <v>0</v>
      </c>
      <c r="P110" s="33"/>
      <c r="Q110" s="33"/>
      <c r="R110" s="33"/>
    </row>
    <row r="111" spans="2:18" x14ac:dyDescent="0.2">
      <c r="B111" s="33"/>
      <c r="C111" s="29"/>
      <c r="D111" s="29">
        <v>2</v>
      </c>
      <c r="E111" s="5"/>
      <c r="F111" s="97" t="s">
        <v>4</v>
      </c>
      <c r="G111" s="30">
        <f>(SQRT(3)*230*16*D111)/1000</f>
        <v>12.747893943706936</v>
      </c>
      <c r="H111" s="5">
        <v>1</v>
      </c>
      <c r="I111" s="29">
        <v>1</v>
      </c>
      <c r="J111" s="29">
        <v>0.3</v>
      </c>
      <c r="K111" s="29">
        <v>1</v>
      </c>
      <c r="L111" s="29">
        <v>1</v>
      </c>
      <c r="M111" s="30">
        <f>G111*I111*J111</f>
        <v>3.8243681831120808</v>
      </c>
      <c r="N111" s="30">
        <f>M111*H111</f>
        <v>3.8243681831120808</v>
      </c>
      <c r="O111" s="30">
        <v>0</v>
      </c>
      <c r="P111" s="33"/>
      <c r="Q111" s="33"/>
      <c r="R111" s="33"/>
    </row>
    <row r="112" spans="2:18" x14ac:dyDescent="0.2">
      <c r="B112" s="33"/>
      <c r="C112" s="29">
        <v>60</v>
      </c>
      <c r="D112" s="29"/>
      <c r="E112" s="5"/>
      <c r="F112" s="97" t="s">
        <v>5</v>
      </c>
      <c r="G112" s="30">
        <f>M112</f>
        <v>3.1395348837209305</v>
      </c>
      <c r="H112" s="5">
        <v>0.86</v>
      </c>
      <c r="I112" s="29">
        <v>1</v>
      </c>
      <c r="J112" s="29">
        <v>1</v>
      </c>
      <c r="K112" s="29">
        <v>1</v>
      </c>
      <c r="L112" s="29">
        <v>1.25</v>
      </c>
      <c r="M112" s="30">
        <f t="shared" ref="M112:M113" si="22">SQRT(N112^2+O112^2)</f>
        <v>3.1395348837209305</v>
      </c>
      <c r="N112" s="30">
        <f>(36*C112*L112)/1000</f>
        <v>2.7</v>
      </c>
      <c r="O112" s="30">
        <f>N112*TAN(ACOS(H112))</f>
        <v>1.6020859172031301</v>
      </c>
      <c r="P112" s="33"/>
      <c r="Q112" s="33"/>
      <c r="R112" s="33"/>
    </row>
    <row r="113" spans="2:18" x14ac:dyDescent="0.2">
      <c r="B113" s="33"/>
      <c r="C113" s="29">
        <v>12</v>
      </c>
      <c r="D113" s="29">
        <v>0</v>
      </c>
      <c r="E113" s="5"/>
      <c r="F113" s="97" t="s">
        <v>18</v>
      </c>
      <c r="G113" s="30">
        <f>M113</f>
        <v>0.31395348837209303</v>
      </c>
      <c r="H113" s="5">
        <v>0.86</v>
      </c>
      <c r="I113" s="29">
        <v>1</v>
      </c>
      <c r="J113" s="29">
        <v>1</v>
      </c>
      <c r="K113" s="31"/>
      <c r="L113" s="31">
        <v>1.25</v>
      </c>
      <c r="M113" s="30">
        <f t="shared" si="22"/>
        <v>0.31395348837209303</v>
      </c>
      <c r="N113" s="29">
        <f>(18*C113*L113)/1000</f>
        <v>0.27</v>
      </c>
      <c r="O113" s="30">
        <f>N113*TAN(ACOS(H113))</f>
        <v>0.16020859172031301</v>
      </c>
      <c r="P113" s="33"/>
      <c r="Q113" s="33"/>
      <c r="R113" s="33"/>
    </row>
    <row r="114" spans="2:18" ht="15" customHeight="1" x14ac:dyDescent="0.2">
      <c r="B114" s="33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25">
        <f>SUM(M110:M113)</f>
        <v>12.797856555205104</v>
      </c>
      <c r="N114" s="25">
        <f t="shared" ref="N114:O114" si="23">SUM(N110:N113)</f>
        <v>12.31436818311208</v>
      </c>
      <c r="O114" s="25">
        <f t="shared" si="23"/>
        <v>1.7622945089234432</v>
      </c>
      <c r="P114" s="33"/>
      <c r="Q114" s="33"/>
      <c r="R114" s="33"/>
    </row>
    <row r="115" spans="2:18" x14ac:dyDescent="0.2">
      <c r="B115" s="33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3"/>
      <c r="Q115" s="33"/>
      <c r="R115" s="33"/>
    </row>
    <row r="116" spans="2:18" x14ac:dyDescent="0.2">
      <c r="B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</row>
    <row r="117" spans="2:18" ht="15" x14ac:dyDescent="0.2">
      <c r="B117" s="33"/>
      <c r="F117" s="167" t="s">
        <v>218</v>
      </c>
      <c r="G117" s="40" t="s">
        <v>30</v>
      </c>
      <c r="H117" s="40" t="s">
        <v>96</v>
      </c>
      <c r="I117" s="40" t="s">
        <v>98</v>
      </c>
      <c r="J117" s="40" t="s">
        <v>78</v>
      </c>
      <c r="K117" s="40" t="s">
        <v>100</v>
      </c>
      <c r="L117" s="40" t="s">
        <v>99</v>
      </c>
      <c r="M117" s="40" t="s">
        <v>30</v>
      </c>
      <c r="N117" s="40" t="s">
        <v>7</v>
      </c>
      <c r="O117" s="40" t="s">
        <v>30</v>
      </c>
      <c r="P117" s="33"/>
      <c r="Q117" s="123"/>
      <c r="R117" s="33"/>
    </row>
    <row r="118" spans="2:18" ht="15" x14ac:dyDescent="0.2">
      <c r="B118" s="33"/>
      <c r="F118" s="168"/>
      <c r="G118" s="41" t="s">
        <v>102</v>
      </c>
      <c r="H118" s="41" t="s">
        <v>95</v>
      </c>
      <c r="I118" s="41" t="s">
        <v>97</v>
      </c>
      <c r="J118" s="41"/>
      <c r="K118" s="41" t="s">
        <v>95</v>
      </c>
      <c r="L118" s="41" t="s">
        <v>97</v>
      </c>
      <c r="M118" s="41" t="s">
        <v>102</v>
      </c>
      <c r="N118" s="41"/>
      <c r="O118" s="41" t="s">
        <v>102</v>
      </c>
      <c r="P118" s="33"/>
      <c r="Q118" s="123"/>
      <c r="R118" s="33"/>
    </row>
    <row r="119" spans="2:18" x14ac:dyDescent="0.2">
      <c r="B119" s="33"/>
      <c r="F119" s="122" t="s">
        <v>262</v>
      </c>
      <c r="G119" s="39">
        <f>M114</f>
        <v>12.797856555205104</v>
      </c>
      <c r="H119" s="39">
        <f>N114</f>
        <v>12.31436818311208</v>
      </c>
      <c r="I119" s="39">
        <f>O114</f>
        <v>1.7622945089234432</v>
      </c>
      <c r="J119" s="42">
        <f>H119/G119</f>
        <v>0.96222114461062769</v>
      </c>
      <c r="K119" s="85">
        <f>H119</f>
        <v>12.31436818311208</v>
      </c>
      <c r="L119" s="85">
        <f>I119</f>
        <v>1.7622945089234432</v>
      </c>
      <c r="M119" s="85">
        <f>SQRT(K119^2+L119^2)</f>
        <v>12.439829005473701</v>
      </c>
      <c r="N119" s="24">
        <v>1</v>
      </c>
      <c r="O119" s="85">
        <f>M119*N119</f>
        <v>12.439829005473701</v>
      </c>
      <c r="P119" s="33"/>
      <c r="Q119" s="123"/>
      <c r="R119" s="33"/>
    </row>
    <row r="120" spans="2:18" x14ac:dyDescent="0.2">
      <c r="B120" s="33"/>
      <c r="F120" s="122" t="s">
        <v>83</v>
      </c>
      <c r="G120" s="39">
        <f>M15</f>
        <v>74.083892947182903</v>
      </c>
      <c r="H120" s="39">
        <f>N15</f>
        <v>68.220375505322437</v>
      </c>
      <c r="I120" s="39">
        <f>O15</f>
        <v>17.732292958601562</v>
      </c>
      <c r="J120" s="42">
        <f t="shared" ref="J120:J132" si="24">H120/G120</f>
        <v>0.92085300584783281</v>
      </c>
      <c r="K120" s="166">
        <f>SUM(H120:H131)</f>
        <v>223.70076913586922</v>
      </c>
      <c r="L120" s="166">
        <f>SUM(I120:I131)</f>
        <v>32.021218978628724</v>
      </c>
      <c r="M120" s="166">
        <f>SQRT(K120^2+L120^2)</f>
        <v>225.98095622608724</v>
      </c>
      <c r="N120" s="166">
        <v>0.6</v>
      </c>
      <c r="O120" s="166">
        <f>M120*N120</f>
        <v>135.58857373565235</v>
      </c>
      <c r="P120" s="33"/>
      <c r="Q120" s="33"/>
      <c r="R120" s="33"/>
    </row>
    <row r="121" spans="2:18" x14ac:dyDescent="0.2">
      <c r="B121" s="33"/>
      <c r="F121" s="122" t="s">
        <v>84</v>
      </c>
      <c r="G121" s="39">
        <f>M23</f>
        <v>7.6840491784392206</v>
      </c>
      <c r="H121" s="39">
        <f>N23</f>
        <v>7.5375375505322442</v>
      </c>
      <c r="I121" s="39">
        <f>O23</f>
        <v>0.53402863906770992</v>
      </c>
      <c r="J121" s="42">
        <f t="shared" si="24"/>
        <v>0.98093301793043242</v>
      </c>
      <c r="K121" s="166"/>
      <c r="L121" s="166"/>
      <c r="M121" s="166"/>
      <c r="N121" s="166"/>
      <c r="O121" s="166"/>
      <c r="P121" s="33"/>
      <c r="Q121" s="33"/>
      <c r="R121" s="33"/>
    </row>
    <row r="122" spans="2:18" x14ac:dyDescent="0.2">
      <c r="B122" s="33"/>
      <c r="F122" s="122" t="s">
        <v>85</v>
      </c>
      <c r="G122" s="39">
        <f>M31</f>
        <v>6.2706957194630171</v>
      </c>
      <c r="H122" s="39">
        <f>N31</f>
        <v>6.1241840915560406</v>
      </c>
      <c r="I122" s="39">
        <f>O31</f>
        <v>0.53402863906771003</v>
      </c>
      <c r="J122" s="42">
        <f t="shared" si="24"/>
        <v>0.97663550673456645</v>
      </c>
      <c r="K122" s="166"/>
      <c r="L122" s="166"/>
      <c r="M122" s="166"/>
      <c r="N122" s="166"/>
      <c r="O122" s="166"/>
      <c r="P122" s="33"/>
      <c r="Q122" s="33"/>
      <c r="R122" s="33"/>
    </row>
    <row r="123" spans="2:18" x14ac:dyDescent="0.2">
      <c r="B123" s="33"/>
      <c r="F123" s="122" t="s">
        <v>86</v>
      </c>
      <c r="G123" s="39">
        <f>M39</f>
        <v>6.2706957194630171</v>
      </c>
      <c r="H123" s="39">
        <f>N39</f>
        <v>6.1241840915560406</v>
      </c>
      <c r="I123" s="39">
        <f>O39</f>
        <v>0.53402863906771003</v>
      </c>
      <c r="J123" s="42">
        <f t="shared" si="24"/>
        <v>0.97663550673456645</v>
      </c>
      <c r="K123" s="166"/>
      <c r="L123" s="166"/>
      <c r="M123" s="166"/>
      <c r="N123" s="166"/>
      <c r="O123" s="166"/>
      <c r="P123" s="33"/>
      <c r="Q123" s="33"/>
      <c r="R123" s="33"/>
    </row>
    <row r="124" spans="2:18" x14ac:dyDescent="0.2">
      <c r="B124" s="33"/>
      <c r="F124" s="122" t="s">
        <v>87</v>
      </c>
      <c r="G124" s="39">
        <f>M47</f>
        <v>6.2706957194630171</v>
      </c>
      <c r="H124" s="39">
        <f>N47</f>
        <v>6.1241840915560406</v>
      </c>
      <c r="I124" s="39">
        <f>O47</f>
        <v>0.53402863906771003</v>
      </c>
      <c r="J124" s="42">
        <f t="shared" si="24"/>
        <v>0.97663550673456645</v>
      </c>
      <c r="K124" s="166"/>
      <c r="L124" s="166"/>
      <c r="M124" s="166"/>
      <c r="N124" s="166"/>
      <c r="O124" s="166"/>
      <c r="P124" s="33"/>
      <c r="Q124" s="33"/>
      <c r="R124" s="33"/>
    </row>
    <row r="125" spans="2:18" x14ac:dyDescent="0.2">
      <c r="B125" s="33"/>
      <c r="F125" s="122" t="s">
        <v>88</v>
      </c>
      <c r="G125" s="39">
        <f>M56</f>
        <v>25.937813851661822</v>
      </c>
      <c r="H125" s="39">
        <f>N56</f>
        <v>25.30310454933624</v>
      </c>
      <c r="I125" s="39">
        <f>O56</f>
        <v>1.9797229112541672</v>
      </c>
      <c r="J125" s="42">
        <f t="shared" si="24"/>
        <v>0.97552957600993362</v>
      </c>
      <c r="K125" s="166"/>
      <c r="L125" s="166"/>
      <c r="M125" s="166"/>
      <c r="N125" s="166"/>
      <c r="O125" s="166"/>
      <c r="P125" s="33"/>
      <c r="Q125" s="33"/>
      <c r="R125" s="33"/>
    </row>
    <row r="126" spans="2:18" x14ac:dyDescent="0.2">
      <c r="B126" s="33"/>
      <c r="F126" s="122" t="s">
        <v>89</v>
      </c>
      <c r="G126" s="39">
        <f>M64</f>
        <v>34.311050217885985</v>
      </c>
      <c r="H126" s="39">
        <f>N64</f>
        <v>34.193840915560401</v>
      </c>
      <c r="I126" s="39">
        <f>O64</f>
        <v>0.42722291125416795</v>
      </c>
      <c r="J126" s="42">
        <f t="shared" si="24"/>
        <v>0.99658391971154281</v>
      </c>
      <c r="K126" s="166"/>
      <c r="L126" s="166"/>
      <c r="M126" s="166"/>
      <c r="N126" s="166"/>
      <c r="O126" s="166"/>
      <c r="P126" s="33"/>
      <c r="Q126" s="33"/>
      <c r="R126" s="33"/>
    </row>
    <row r="127" spans="2:18" x14ac:dyDescent="0.2">
      <c r="B127" s="33"/>
      <c r="F127" s="122" t="s">
        <v>90</v>
      </c>
      <c r="G127" s="39">
        <f>M72</f>
        <v>7.3746957194630181</v>
      </c>
      <c r="H127" s="39">
        <f>N72</f>
        <v>7.2281840915560416</v>
      </c>
      <c r="I127" s="39">
        <f>O72</f>
        <v>0.53402863906771003</v>
      </c>
      <c r="J127" s="42">
        <f t="shared" si="24"/>
        <v>0.98013319688291567</v>
      </c>
      <c r="K127" s="166"/>
      <c r="L127" s="166"/>
      <c r="M127" s="166"/>
      <c r="N127" s="166"/>
      <c r="O127" s="166"/>
      <c r="P127" s="33"/>
      <c r="Q127" s="33"/>
      <c r="R127" s="33"/>
    </row>
    <row r="128" spans="2:18" x14ac:dyDescent="0.2">
      <c r="B128" s="33"/>
      <c r="F128" s="122" t="s">
        <v>91</v>
      </c>
      <c r="G128" s="39">
        <f>M80</f>
        <v>20.839247994131139</v>
      </c>
      <c r="H128" s="39">
        <f>N80</f>
        <v>20.69273636622416</v>
      </c>
      <c r="I128" s="39">
        <f>O80</f>
        <v>0.53402863906771003</v>
      </c>
      <c r="J128" s="42">
        <f t="shared" si="24"/>
        <v>0.99296943786319736</v>
      </c>
      <c r="K128" s="166"/>
      <c r="L128" s="166"/>
      <c r="M128" s="166"/>
      <c r="N128" s="166"/>
      <c r="O128" s="166"/>
      <c r="P128" s="33"/>
      <c r="Q128" s="33"/>
      <c r="R128" s="33"/>
    </row>
    <row r="129" spans="2:19" x14ac:dyDescent="0.2">
      <c r="B129" s="33"/>
      <c r="F129" s="122" t="s">
        <v>92</v>
      </c>
      <c r="G129" s="39">
        <f>M88</f>
        <v>20.839247994131139</v>
      </c>
      <c r="H129" s="39">
        <f>N88</f>
        <v>20.69273636622416</v>
      </c>
      <c r="I129" s="39">
        <f>O88</f>
        <v>0.53402863906771003</v>
      </c>
      <c r="J129" s="42">
        <f t="shared" si="24"/>
        <v>0.99296943786319736</v>
      </c>
      <c r="K129" s="166"/>
      <c r="L129" s="166"/>
      <c r="M129" s="166"/>
      <c r="N129" s="166"/>
      <c r="O129" s="166"/>
      <c r="P129" s="33"/>
      <c r="Q129" s="33"/>
      <c r="R129" s="33"/>
    </row>
    <row r="130" spans="2:19" ht="14.25" customHeight="1" x14ac:dyDescent="0.2">
      <c r="B130" s="33"/>
      <c r="F130" s="122" t="s">
        <v>93</v>
      </c>
      <c r="G130" s="39">
        <f>M97</f>
        <v>19.388366217547308</v>
      </c>
      <c r="H130" s="39">
        <f>N97</f>
        <v>17.249517424889373</v>
      </c>
      <c r="I130" s="39">
        <f>O97</f>
        <v>8.0903768601380825</v>
      </c>
      <c r="J130" s="42">
        <f t="shared" si="24"/>
        <v>0.88968390793432683</v>
      </c>
      <c r="K130" s="166"/>
      <c r="L130" s="166"/>
      <c r="M130" s="166"/>
      <c r="N130" s="166"/>
      <c r="O130" s="166"/>
      <c r="P130" s="164" t="s">
        <v>265</v>
      </c>
      <c r="Q130" s="165"/>
      <c r="R130" s="165"/>
      <c r="S130" s="165"/>
    </row>
    <row r="131" spans="2:19" ht="14.25" customHeight="1" x14ac:dyDescent="0.2">
      <c r="B131" s="33"/>
      <c r="F131" s="122" t="s">
        <v>94</v>
      </c>
      <c r="G131" s="39">
        <f>M105</f>
        <v>4.2248352543467389</v>
      </c>
      <c r="H131" s="39">
        <f>N105</f>
        <v>4.2101840915560409</v>
      </c>
      <c r="I131" s="39">
        <f>O105</f>
        <v>5.3402863906770993E-2</v>
      </c>
      <c r="J131" s="42">
        <f t="shared" si="24"/>
        <v>0.99653213393927631</v>
      </c>
      <c r="K131" s="166"/>
      <c r="L131" s="166"/>
      <c r="M131" s="166"/>
      <c r="N131" s="166"/>
      <c r="O131" s="166"/>
      <c r="P131" s="164"/>
      <c r="Q131" s="165"/>
      <c r="R131" s="165"/>
      <c r="S131" s="165"/>
    </row>
    <row r="132" spans="2:19" ht="15" x14ac:dyDescent="0.2">
      <c r="B132" s="33"/>
      <c r="F132" s="19" t="s">
        <v>101</v>
      </c>
      <c r="G132" s="18">
        <f>SUM(G119:G131)</f>
        <v>246.29314308838346</v>
      </c>
      <c r="H132" s="18">
        <f>SUM(H119:H131)</f>
        <v>236.01513731898132</v>
      </c>
      <c r="I132" s="18">
        <f t="shared" ref="I132:M132" si="25">SUM(I119:I131)</f>
        <v>33.783513487552163</v>
      </c>
      <c r="J132" s="43">
        <f t="shared" si="24"/>
        <v>0.95826921675316867</v>
      </c>
      <c r="K132" s="18">
        <f t="shared" si="25"/>
        <v>236.01513731898132</v>
      </c>
      <c r="L132" s="18">
        <f t="shared" si="25"/>
        <v>33.78351348755217</v>
      </c>
      <c r="M132" s="18">
        <f t="shared" si="25"/>
        <v>238.42078523156096</v>
      </c>
      <c r="N132" s="18">
        <f>SUM(N119:N131)</f>
        <v>1.6</v>
      </c>
      <c r="O132" s="18">
        <f>SUM(O119:O131)</f>
        <v>148.02840274112606</v>
      </c>
      <c r="P132" s="33"/>
      <c r="Q132" s="33"/>
      <c r="R132" s="33"/>
    </row>
    <row r="133" spans="2:19" x14ac:dyDescent="0.2">
      <c r="B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</row>
    <row r="134" spans="2:19" x14ac:dyDescent="0.2">
      <c r="B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</row>
    <row r="135" spans="2:19" x14ac:dyDescent="0.2">
      <c r="B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</row>
    <row r="136" spans="2:19" x14ac:dyDescent="0.2">
      <c r="B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</row>
    <row r="137" spans="2:19" x14ac:dyDescent="0.2">
      <c r="B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</row>
    <row r="138" spans="2:19" x14ac:dyDescent="0.2">
      <c r="B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</row>
    <row r="139" spans="2:19" x14ac:dyDescent="0.2">
      <c r="B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</row>
    <row r="140" spans="2:19" x14ac:dyDescent="0.2">
      <c r="B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</row>
    <row r="141" spans="2:19" x14ac:dyDescent="0.2">
      <c r="B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</row>
    <row r="142" spans="2:19" x14ac:dyDescent="0.2">
      <c r="B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</row>
    <row r="143" spans="2:19" x14ac:dyDescent="0.2">
      <c r="B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</row>
    <row r="144" spans="2:19" x14ac:dyDescent="0.2">
      <c r="B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</row>
    <row r="145" spans="2:18" x14ac:dyDescent="0.2">
      <c r="B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</row>
    <row r="146" spans="2:18" x14ac:dyDescent="0.2">
      <c r="B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</row>
    <row r="147" spans="2:18" x14ac:dyDescent="0.2">
      <c r="B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</row>
    <row r="148" spans="2:18" x14ac:dyDescent="0.2">
      <c r="B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</row>
    <row r="149" spans="2:18" x14ac:dyDescent="0.2">
      <c r="B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</row>
    <row r="150" spans="2:18" x14ac:dyDescent="0.2">
      <c r="B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</row>
    <row r="151" spans="2:18" x14ac:dyDescent="0.2">
      <c r="B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</row>
    <row r="152" spans="2:18" x14ac:dyDescent="0.2">
      <c r="B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</row>
    <row r="153" spans="2:18" x14ac:dyDescent="0.2">
      <c r="B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</row>
    <row r="154" spans="2:18" x14ac:dyDescent="0.2">
      <c r="B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</row>
    <row r="155" spans="2:18" x14ac:dyDescent="0.2">
      <c r="B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</row>
    <row r="156" spans="2:18" x14ac:dyDescent="0.2">
      <c r="B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</row>
    <row r="157" spans="2:18" x14ac:dyDescent="0.2">
      <c r="B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</row>
    <row r="158" spans="2:18" x14ac:dyDescent="0.2">
      <c r="B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</row>
    <row r="159" spans="2:18" x14ac:dyDescent="0.2">
      <c r="B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</row>
    <row r="160" spans="2:18" x14ac:dyDescent="0.2">
      <c r="B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</row>
  </sheetData>
  <mergeCells count="20">
    <mergeCell ref="P130:S131"/>
    <mergeCell ref="O120:O131"/>
    <mergeCell ref="C108:F108"/>
    <mergeCell ref="K120:K131"/>
    <mergeCell ref="L120:L131"/>
    <mergeCell ref="M120:M131"/>
    <mergeCell ref="N120:N131"/>
    <mergeCell ref="F117:F118"/>
    <mergeCell ref="C83:F83"/>
    <mergeCell ref="C91:F91"/>
    <mergeCell ref="C100:F100"/>
    <mergeCell ref="C59:F59"/>
    <mergeCell ref="C67:F67"/>
    <mergeCell ref="C75:F75"/>
    <mergeCell ref="C34:F34"/>
    <mergeCell ref="C42:F42"/>
    <mergeCell ref="C50:F50"/>
    <mergeCell ref="C4:F4"/>
    <mergeCell ref="C18:F18"/>
    <mergeCell ref="C26:F26"/>
  </mergeCells>
  <pageMargins left="0.39370078740157483" right="0.35433070866141736" top="0.74803149606299213" bottom="0.39370078740157483" header="0.31496062992125984" footer="0.31496062992125984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tabSelected="1" topLeftCell="A13" zoomScale="90" zoomScaleNormal="90" workbookViewId="0">
      <selection activeCell="AB23" sqref="AB23"/>
    </sheetView>
  </sheetViews>
  <sheetFormatPr defaultRowHeight="15" x14ac:dyDescent="0.25"/>
  <cols>
    <col min="1" max="1" width="6.42578125" style="8" customWidth="1"/>
    <col min="2" max="2" width="16.28515625" style="8" bestFit="1" customWidth="1"/>
    <col min="3" max="3" width="10.5703125" style="46" customWidth="1"/>
    <col min="4" max="4" width="10.140625" style="46" customWidth="1"/>
    <col min="5" max="5" width="8.7109375" style="44" customWidth="1"/>
    <col min="6" max="6" width="39.7109375" style="8" customWidth="1"/>
    <col min="7" max="7" width="4" style="8" bestFit="1" customWidth="1"/>
    <col min="8" max="8" width="6.42578125" style="8" bestFit="1" customWidth="1"/>
    <col min="9" max="10" width="9.140625" style="46"/>
    <col min="11" max="11" width="11.42578125" style="50" customWidth="1"/>
    <col min="12" max="12" width="10.28515625" style="8" bestFit="1" customWidth="1"/>
    <col min="13" max="13" width="10.28515625" style="8" customWidth="1"/>
    <col min="14" max="14" width="11" style="8" bestFit="1" customWidth="1"/>
    <col min="15" max="15" width="9.42578125" style="8" customWidth="1"/>
    <col min="16" max="16" width="9.140625" style="8"/>
    <col min="17" max="17" width="7.5703125" style="8" bestFit="1" customWidth="1"/>
    <col min="18" max="18" width="14.42578125" style="44" bestFit="1" customWidth="1"/>
    <col min="19" max="19" width="10" style="44" customWidth="1"/>
    <col min="20" max="20" width="12.42578125" style="44" bestFit="1" customWidth="1"/>
    <col min="21" max="23" width="10.85546875" style="46" customWidth="1"/>
    <col min="24" max="24" width="14.140625" style="46" customWidth="1"/>
    <col min="25" max="25" width="40.7109375" style="8" customWidth="1"/>
    <col min="26" max="26" width="22" style="8" bestFit="1" customWidth="1"/>
    <col min="27" max="27" width="16" style="8" bestFit="1" customWidth="1"/>
    <col min="28" max="16384" width="9.140625" style="8"/>
  </cols>
  <sheetData>
    <row r="1" spans="1:28" ht="21" x14ac:dyDescent="0.35">
      <c r="A1" s="111" t="s">
        <v>151</v>
      </c>
      <c r="B1" s="46"/>
      <c r="F1" s="46"/>
      <c r="G1" s="46"/>
      <c r="H1" s="46"/>
      <c r="K1" s="112"/>
      <c r="L1" s="46"/>
      <c r="M1" s="46"/>
      <c r="N1" s="46"/>
      <c r="O1" s="46"/>
      <c r="P1" s="46"/>
      <c r="Q1" s="46"/>
      <c r="Y1" s="46"/>
      <c r="Z1" s="46"/>
      <c r="AA1" s="46"/>
      <c r="AB1" s="46"/>
    </row>
    <row r="2" spans="1:28" x14ac:dyDescent="0.25">
      <c r="A2" s="46"/>
      <c r="B2" s="46"/>
      <c r="F2" s="46"/>
      <c r="G2" s="46"/>
      <c r="H2" s="46"/>
      <c r="K2" s="112"/>
      <c r="L2" s="46"/>
      <c r="M2" s="46"/>
      <c r="N2" s="46"/>
      <c r="O2" s="46"/>
      <c r="P2" s="46"/>
      <c r="Q2" s="46"/>
      <c r="Y2" s="46"/>
      <c r="Z2" s="46"/>
      <c r="AA2" s="46"/>
      <c r="AB2" s="46"/>
    </row>
    <row r="3" spans="1:28" s="51" customFormat="1" ht="32.25" x14ac:dyDescent="0.25">
      <c r="A3" s="113"/>
      <c r="B3" s="114" t="s">
        <v>19</v>
      </c>
      <c r="C3" s="47" t="s">
        <v>20</v>
      </c>
      <c r="D3" s="47" t="s">
        <v>76</v>
      </c>
      <c r="E3" s="47" t="s">
        <v>78</v>
      </c>
      <c r="F3" s="47" t="s">
        <v>40</v>
      </c>
      <c r="G3" s="47" t="s">
        <v>42</v>
      </c>
      <c r="H3" s="47" t="s">
        <v>21</v>
      </c>
      <c r="I3" s="47" t="s">
        <v>22</v>
      </c>
      <c r="J3" s="47" t="s">
        <v>106</v>
      </c>
      <c r="K3" s="47" t="s">
        <v>73</v>
      </c>
      <c r="L3" s="47" t="s">
        <v>25</v>
      </c>
      <c r="M3" s="47" t="s">
        <v>49</v>
      </c>
      <c r="N3" s="47" t="s">
        <v>179</v>
      </c>
      <c r="O3" s="47" t="s">
        <v>24</v>
      </c>
      <c r="P3" s="47" t="s">
        <v>23</v>
      </c>
      <c r="Q3" s="47" t="s">
        <v>104</v>
      </c>
      <c r="R3" s="47" t="s">
        <v>105</v>
      </c>
      <c r="S3" s="47" t="s">
        <v>107</v>
      </c>
      <c r="T3" s="47" t="s">
        <v>108</v>
      </c>
      <c r="U3" s="47" t="s">
        <v>26</v>
      </c>
      <c r="V3" s="47" t="s">
        <v>27</v>
      </c>
      <c r="W3" s="47" t="s">
        <v>110</v>
      </c>
      <c r="X3" s="47" t="s">
        <v>109</v>
      </c>
      <c r="Y3" s="47" t="s">
        <v>103</v>
      </c>
      <c r="Z3" s="47" t="s">
        <v>45</v>
      </c>
      <c r="AA3" s="47" t="s">
        <v>149</v>
      </c>
      <c r="AB3" s="113"/>
    </row>
    <row r="4" spans="1:28" ht="45" x14ac:dyDescent="0.25">
      <c r="A4" s="46"/>
      <c r="B4" s="45" t="s">
        <v>181</v>
      </c>
      <c r="C4" s="48">
        <f>30+3</f>
        <v>33</v>
      </c>
      <c r="D4" s="48">
        <f>'Balanço de Potências'!O132</f>
        <v>148.02840274112606</v>
      </c>
      <c r="E4" s="11">
        <f>'Balanço de Potências'!J119</f>
        <v>0.96222114461062769</v>
      </c>
      <c r="F4" s="48" t="s">
        <v>172</v>
      </c>
      <c r="G4" s="48" t="s">
        <v>43</v>
      </c>
      <c r="H4" s="45">
        <f>(D4*1000)/(400*SQRT(3))</f>
        <v>213.66059542574865</v>
      </c>
      <c r="I4" s="100">
        <v>250</v>
      </c>
      <c r="J4" s="100">
        <f>I4</f>
        <v>250</v>
      </c>
      <c r="K4" s="115">
        <f>0.8*0.89*1.05</f>
        <v>0.74760000000000015</v>
      </c>
      <c r="L4" s="48">
        <f>I4/(K4)</f>
        <v>334.40342429106465</v>
      </c>
      <c r="M4" s="48" t="s">
        <v>180</v>
      </c>
      <c r="N4" s="48" t="s">
        <v>182</v>
      </c>
      <c r="O4" s="100">
        <v>185</v>
      </c>
      <c r="P4" s="100">
        <v>367</v>
      </c>
      <c r="Q4" s="48">
        <f t="shared" ref="Q4:Q17" si="0">P4*K4</f>
        <v>274.36920000000003</v>
      </c>
      <c r="R4" s="86" t="str">
        <f t="shared" ref="R4:R17" si="1">IF(AND(H4&lt;=I4,I4&lt;=Q4),"VERDADEIRO","FALSO")</f>
        <v>VERDADEIRO</v>
      </c>
      <c r="S4" s="86">
        <f t="shared" ref="S4:S17" si="2">1.3*J4</f>
        <v>325</v>
      </c>
      <c r="T4" s="86" t="str">
        <f>IF(S4&lt;=1.45*Q4,"VERDADEIRO","FALSO")</f>
        <v>VERDADEIRO</v>
      </c>
      <c r="U4" s="48">
        <f t="shared" ref="U4:U17" si="3">((0.0225*(C4/O4))*E4+0.08/1000*C4*SIN(ACOS(E4)))*H4</f>
        <v>0.97871039325204534</v>
      </c>
      <c r="V4" s="49">
        <f>(100*U4)/230</f>
        <v>0.42552625793567189</v>
      </c>
      <c r="W4" s="52">
        <v>3</v>
      </c>
      <c r="X4" s="86" t="str">
        <f>IF(V4&lt;=W4,"VERDADEIRO","FALSO")</f>
        <v>VERDADEIRO</v>
      </c>
      <c r="Y4" s="89" t="s">
        <v>219</v>
      </c>
      <c r="Z4" s="45" t="s">
        <v>240</v>
      </c>
      <c r="AA4" s="86" t="s">
        <v>173</v>
      </c>
      <c r="AB4" s="46"/>
    </row>
    <row r="5" spans="1:28" ht="30" x14ac:dyDescent="0.25">
      <c r="A5" s="46"/>
      <c r="B5" s="45" t="s">
        <v>185</v>
      </c>
      <c r="C5" s="48">
        <f>33.4+3</f>
        <v>36.4</v>
      </c>
      <c r="D5" s="48">
        <f>'Balanço de Potências'!G120</f>
        <v>74.083892947182903</v>
      </c>
      <c r="E5" s="11">
        <f>'Balanço de Potências'!J120</f>
        <v>0.92085300584783281</v>
      </c>
      <c r="F5" s="169" t="s">
        <v>41</v>
      </c>
      <c r="G5" s="48" t="s">
        <v>44</v>
      </c>
      <c r="H5" s="48">
        <f t="shared" ref="H5:H17" si="4">(D5*1000)/(400*SQRT(3))</f>
        <v>106.93088883917866</v>
      </c>
      <c r="I5" s="100">
        <v>125</v>
      </c>
      <c r="J5" s="100">
        <f t="shared" ref="J5:J17" si="5">I5</f>
        <v>125</v>
      </c>
      <c r="K5" s="115">
        <f>0.57</f>
        <v>0.56999999999999995</v>
      </c>
      <c r="L5" s="48">
        <f>I5/(K5)</f>
        <v>219.2982456140351</v>
      </c>
      <c r="M5" s="48" t="s">
        <v>180</v>
      </c>
      <c r="N5" s="48" t="s">
        <v>182</v>
      </c>
      <c r="O5" s="100">
        <v>120</v>
      </c>
      <c r="P5" s="100">
        <v>239</v>
      </c>
      <c r="Q5" s="48">
        <f t="shared" si="0"/>
        <v>136.22999999999999</v>
      </c>
      <c r="R5" s="86" t="str">
        <f t="shared" si="1"/>
        <v>VERDADEIRO</v>
      </c>
      <c r="S5" s="86">
        <f t="shared" si="2"/>
        <v>162.5</v>
      </c>
      <c r="T5" s="86" t="str">
        <f t="shared" ref="T5:T17" si="6">IF(S5&lt;=1.45*Q5,"VERDADEIRO","FALSO")</f>
        <v>VERDADEIRO</v>
      </c>
      <c r="U5" s="48">
        <f t="shared" si="3"/>
        <v>0.79345279836221316</v>
      </c>
      <c r="V5" s="49">
        <f>(100*U5)/230</f>
        <v>0.34497947754878838</v>
      </c>
      <c r="W5" s="52">
        <v>3</v>
      </c>
      <c r="X5" s="86" t="str">
        <f t="shared" ref="X5:X17" si="7">IF(V5&lt;=W5,"VERDADEIRO","FALSO")</f>
        <v>VERDADEIRO</v>
      </c>
      <c r="Y5" s="89" t="s">
        <v>199</v>
      </c>
      <c r="Z5" s="45" t="s">
        <v>241</v>
      </c>
      <c r="AA5" s="86" t="s">
        <v>174</v>
      </c>
      <c r="AB5" s="46"/>
    </row>
    <row r="6" spans="1:28" x14ac:dyDescent="0.25">
      <c r="A6" s="46"/>
      <c r="B6" s="45" t="s">
        <v>198</v>
      </c>
      <c r="C6" s="48">
        <f>27.2+3</f>
        <v>30.2</v>
      </c>
      <c r="D6" s="48">
        <f>'Balanço de Potências'!G121</f>
        <v>7.6840491784392206</v>
      </c>
      <c r="E6" s="11">
        <f>'Balanço de Potências'!J121</f>
        <v>0.98093301793043242</v>
      </c>
      <c r="F6" s="170"/>
      <c r="G6" s="48" t="s">
        <v>44</v>
      </c>
      <c r="H6" s="48">
        <f t="shared" si="4"/>
        <v>11.090969654095517</v>
      </c>
      <c r="I6" s="100">
        <v>25</v>
      </c>
      <c r="J6" s="100">
        <f t="shared" si="5"/>
        <v>25</v>
      </c>
      <c r="K6" s="115">
        <f t="shared" ref="K6:K17" si="8">0.57</f>
        <v>0.56999999999999995</v>
      </c>
      <c r="L6" s="48">
        <f t="shared" ref="L6:L17" si="9">I6/(K6)</f>
        <v>43.859649122807021</v>
      </c>
      <c r="M6" s="48" t="s">
        <v>180</v>
      </c>
      <c r="N6" s="48" t="s">
        <v>182</v>
      </c>
      <c r="O6" s="100">
        <v>10</v>
      </c>
      <c r="P6" s="100">
        <v>50</v>
      </c>
      <c r="Q6" s="48">
        <f t="shared" si="0"/>
        <v>28.499999999999996</v>
      </c>
      <c r="R6" s="86" t="str">
        <f t="shared" si="1"/>
        <v>VERDADEIRO</v>
      </c>
      <c r="S6" s="86">
        <f t="shared" si="2"/>
        <v>32.5</v>
      </c>
      <c r="T6" s="86" t="str">
        <f t="shared" si="6"/>
        <v>VERDADEIRO</v>
      </c>
      <c r="U6" s="48">
        <f t="shared" si="3"/>
        <v>0.74446956822913257</v>
      </c>
      <c r="V6" s="49">
        <f t="shared" ref="V6:V17" si="10">(100*U6)/230</f>
        <v>0.32368242096918803</v>
      </c>
      <c r="W6" s="52">
        <v>3</v>
      </c>
      <c r="X6" s="86" t="str">
        <f t="shared" si="7"/>
        <v>VERDADEIRO</v>
      </c>
      <c r="Y6" s="89" t="s">
        <v>183</v>
      </c>
      <c r="Z6" s="45" t="s">
        <v>242</v>
      </c>
      <c r="AA6" s="86" t="s">
        <v>177</v>
      </c>
      <c r="AB6" s="46"/>
    </row>
    <row r="7" spans="1:28" x14ac:dyDescent="0.25">
      <c r="A7" s="46"/>
      <c r="B7" s="45" t="s">
        <v>187</v>
      </c>
      <c r="C7" s="48">
        <f>22.6+3</f>
        <v>25.6</v>
      </c>
      <c r="D7" s="48">
        <f>'Balanço de Potências'!G122</f>
        <v>6.2706957194630171</v>
      </c>
      <c r="E7" s="11">
        <f>'Balanço de Potências'!J122</f>
        <v>0.97663550673456645</v>
      </c>
      <c r="F7" s="170"/>
      <c r="G7" s="48" t="s">
        <v>44</v>
      </c>
      <c r="H7" s="48">
        <f t="shared" si="4"/>
        <v>9.0509696540955176</v>
      </c>
      <c r="I7" s="100">
        <v>25</v>
      </c>
      <c r="J7" s="100">
        <f t="shared" si="5"/>
        <v>25</v>
      </c>
      <c r="K7" s="115">
        <f t="shared" si="8"/>
        <v>0.56999999999999995</v>
      </c>
      <c r="L7" s="48">
        <f t="shared" si="9"/>
        <v>43.859649122807021</v>
      </c>
      <c r="M7" s="48" t="s">
        <v>180</v>
      </c>
      <c r="N7" s="48" t="s">
        <v>182</v>
      </c>
      <c r="O7" s="100">
        <v>10</v>
      </c>
      <c r="P7" s="100">
        <v>50</v>
      </c>
      <c r="Q7" s="48">
        <f t="shared" si="0"/>
        <v>28.499999999999996</v>
      </c>
      <c r="R7" s="86" t="str">
        <f t="shared" si="1"/>
        <v>VERDADEIRO</v>
      </c>
      <c r="S7" s="86">
        <f t="shared" si="2"/>
        <v>32.5</v>
      </c>
      <c r="T7" s="86" t="str">
        <f t="shared" si="6"/>
        <v>VERDADEIRO</v>
      </c>
      <c r="U7" s="48">
        <f t="shared" si="3"/>
        <v>0.51313861983843201</v>
      </c>
      <c r="V7" s="49">
        <f t="shared" si="10"/>
        <v>0.22310374775584002</v>
      </c>
      <c r="W7" s="52">
        <v>3</v>
      </c>
      <c r="X7" s="86" t="str">
        <f t="shared" si="7"/>
        <v>VERDADEIRO</v>
      </c>
      <c r="Y7" s="89" t="s">
        <v>183</v>
      </c>
      <c r="Z7" s="45" t="s">
        <v>242</v>
      </c>
      <c r="AA7" s="86" t="s">
        <v>177</v>
      </c>
      <c r="AB7" s="46"/>
    </row>
    <row r="8" spans="1:28" x14ac:dyDescent="0.25">
      <c r="A8" s="46"/>
      <c r="B8" s="45" t="s">
        <v>188</v>
      </c>
      <c r="C8" s="48">
        <f>14.1+3</f>
        <v>17.100000000000001</v>
      </c>
      <c r="D8" s="48">
        <f>'Balanço de Potências'!G123</f>
        <v>6.2706957194630171</v>
      </c>
      <c r="E8" s="11">
        <f>'Balanço de Potências'!J123</f>
        <v>0.97663550673456645</v>
      </c>
      <c r="F8" s="170"/>
      <c r="G8" s="48" t="s">
        <v>44</v>
      </c>
      <c r="H8" s="48">
        <f t="shared" si="4"/>
        <v>9.0509696540955176</v>
      </c>
      <c r="I8" s="100">
        <v>25</v>
      </c>
      <c r="J8" s="100">
        <f t="shared" si="5"/>
        <v>25</v>
      </c>
      <c r="K8" s="115">
        <f t="shared" si="8"/>
        <v>0.56999999999999995</v>
      </c>
      <c r="L8" s="48">
        <f t="shared" si="9"/>
        <v>43.859649122807021</v>
      </c>
      <c r="M8" s="48" t="s">
        <v>180</v>
      </c>
      <c r="N8" s="48" t="s">
        <v>182</v>
      </c>
      <c r="O8" s="100">
        <v>10</v>
      </c>
      <c r="P8" s="100">
        <v>50</v>
      </c>
      <c r="Q8" s="48">
        <f t="shared" si="0"/>
        <v>28.499999999999996</v>
      </c>
      <c r="R8" s="86" t="str">
        <f t="shared" si="1"/>
        <v>VERDADEIRO</v>
      </c>
      <c r="S8" s="86">
        <f t="shared" si="2"/>
        <v>32.5</v>
      </c>
      <c r="T8" s="86" t="str">
        <f t="shared" si="6"/>
        <v>VERDADEIRO</v>
      </c>
      <c r="U8" s="48">
        <f t="shared" si="3"/>
        <v>0.34276056247020265</v>
      </c>
      <c r="V8" s="49">
        <f t="shared" si="10"/>
        <v>0.14902633150878375</v>
      </c>
      <c r="W8" s="52">
        <v>3</v>
      </c>
      <c r="X8" s="86" t="str">
        <f t="shared" si="7"/>
        <v>VERDADEIRO</v>
      </c>
      <c r="Y8" s="89" t="s">
        <v>183</v>
      </c>
      <c r="Z8" s="45" t="s">
        <v>243</v>
      </c>
      <c r="AA8" s="86" t="s">
        <v>177</v>
      </c>
      <c r="AB8" s="46"/>
    </row>
    <row r="9" spans="1:28" x14ac:dyDescent="0.25">
      <c r="A9" s="46"/>
      <c r="B9" s="45" t="s">
        <v>189</v>
      </c>
      <c r="C9" s="48">
        <f>9.3+3</f>
        <v>12.3</v>
      </c>
      <c r="D9" s="48">
        <f>'Balanço de Potências'!G124</f>
        <v>6.2706957194630171</v>
      </c>
      <c r="E9" s="11">
        <f>'Balanço de Potências'!J124</f>
        <v>0.97663550673456645</v>
      </c>
      <c r="F9" s="170"/>
      <c r="G9" s="48" t="s">
        <v>44</v>
      </c>
      <c r="H9" s="48">
        <f t="shared" si="4"/>
        <v>9.0509696540955176</v>
      </c>
      <c r="I9" s="100">
        <v>25</v>
      </c>
      <c r="J9" s="100">
        <f t="shared" si="5"/>
        <v>25</v>
      </c>
      <c r="K9" s="115">
        <f t="shared" si="8"/>
        <v>0.56999999999999995</v>
      </c>
      <c r="L9" s="48">
        <f t="shared" si="9"/>
        <v>43.859649122807021</v>
      </c>
      <c r="M9" s="48" t="s">
        <v>180</v>
      </c>
      <c r="N9" s="48" t="s">
        <v>182</v>
      </c>
      <c r="O9" s="100">
        <v>10</v>
      </c>
      <c r="P9" s="100">
        <v>50</v>
      </c>
      <c r="Q9" s="48">
        <f t="shared" si="0"/>
        <v>28.499999999999996</v>
      </c>
      <c r="R9" s="86" t="str">
        <f t="shared" si="1"/>
        <v>VERDADEIRO</v>
      </c>
      <c r="S9" s="86">
        <f t="shared" si="2"/>
        <v>32.5</v>
      </c>
      <c r="T9" s="86" t="str">
        <f t="shared" si="6"/>
        <v>VERDADEIRO</v>
      </c>
      <c r="U9" s="48">
        <f t="shared" si="3"/>
        <v>0.24654707125049657</v>
      </c>
      <c r="V9" s="49">
        <f t="shared" si="10"/>
        <v>0.10719437880456373</v>
      </c>
      <c r="W9" s="52">
        <v>3</v>
      </c>
      <c r="X9" s="86" t="str">
        <f t="shared" si="7"/>
        <v>VERDADEIRO</v>
      </c>
      <c r="Y9" s="89" t="s">
        <v>183</v>
      </c>
      <c r="Z9" s="45" t="s">
        <v>242</v>
      </c>
      <c r="AA9" s="86" t="s">
        <v>177</v>
      </c>
      <c r="AB9" s="46"/>
    </row>
    <row r="10" spans="1:28" ht="30" x14ac:dyDescent="0.25">
      <c r="A10" s="46"/>
      <c r="B10" s="45" t="s">
        <v>190</v>
      </c>
      <c r="C10" s="48">
        <f>7.7+3</f>
        <v>10.7</v>
      </c>
      <c r="D10" s="48">
        <f>'Balanço de Potências'!G125</f>
        <v>25.937813851661822</v>
      </c>
      <c r="E10" s="11">
        <f>'Balanço de Potências'!J125</f>
        <v>0.97552957600993362</v>
      </c>
      <c r="F10" s="170"/>
      <c r="G10" s="48" t="s">
        <v>44</v>
      </c>
      <c r="H10" s="48">
        <f t="shared" si="4"/>
        <v>37.438009523618398</v>
      </c>
      <c r="I10" s="100">
        <v>80</v>
      </c>
      <c r="J10" s="100">
        <f t="shared" si="5"/>
        <v>80</v>
      </c>
      <c r="K10" s="115">
        <f t="shared" si="8"/>
        <v>0.56999999999999995</v>
      </c>
      <c r="L10" s="48">
        <f t="shared" si="9"/>
        <v>140.35087719298247</v>
      </c>
      <c r="M10" s="48" t="s">
        <v>180</v>
      </c>
      <c r="N10" s="48" t="s">
        <v>182</v>
      </c>
      <c r="O10" s="100">
        <v>70</v>
      </c>
      <c r="P10" s="100">
        <v>171</v>
      </c>
      <c r="Q10" s="48">
        <f t="shared" si="0"/>
        <v>97.469999999999985</v>
      </c>
      <c r="R10" s="86" t="str">
        <f t="shared" si="1"/>
        <v>VERDADEIRO</v>
      </c>
      <c r="S10" s="86">
        <f t="shared" si="2"/>
        <v>104</v>
      </c>
      <c r="T10" s="86" t="str">
        <f t="shared" si="6"/>
        <v>VERDADEIRO</v>
      </c>
      <c r="U10" s="48">
        <f t="shared" si="3"/>
        <v>0.13265530295048164</v>
      </c>
      <c r="V10" s="49">
        <f t="shared" si="10"/>
        <v>5.7676218674122454E-2</v>
      </c>
      <c r="W10" s="52">
        <v>3</v>
      </c>
      <c r="X10" s="86" t="str">
        <f t="shared" si="7"/>
        <v>VERDADEIRO</v>
      </c>
      <c r="Y10" s="89" t="s">
        <v>200</v>
      </c>
      <c r="Z10" s="45" t="s">
        <v>244</v>
      </c>
      <c r="AA10" s="86" t="s">
        <v>175</v>
      </c>
      <c r="AB10" s="46"/>
    </row>
    <row r="11" spans="1:28" ht="30" x14ac:dyDescent="0.25">
      <c r="A11" s="46"/>
      <c r="B11" s="45" t="s">
        <v>191</v>
      </c>
      <c r="C11" s="48">
        <f>1.16+3</f>
        <v>4.16</v>
      </c>
      <c r="D11" s="48">
        <f>'Balanço de Potências'!G126</f>
        <v>34.311050217885985</v>
      </c>
      <c r="E11" s="11">
        <f>'Balanço de Potências'!J126</f>
        <v>0.99658391971154281</v>
      </c>
      <c r="F11" s="170"/>
      <c r="G11" s="48" t="s">
        <v>44</v>
      </c>
      <c r="H11" s="48">
        <f t="shared" si="4"/>
        <v>49.523735198688101</v>
      </c>
      <c r="I11" s="100">
        <v>80</v>
      </c>
      <c r="J11" s="100">
        <f t="shared" si="5"/>
        <v>80</v>
      </c>
      <c r="K11" s="115">
        <f t="shared" si="8"/>
        <v>0.56999999999999995</v>
      </c>
      <c r="L11" s="48">
        <f t="shared" si="9"/>
        <v>140.35087719298247</v>
      </c>
      <c r="M11" s="48" t="s">
        <v>180</v>
      </c>
      <c r="N11" s="48" t="s">
        <v>182</v>
      </c>
      <c r="O11" s="100">
        <v>70</v>
      </c>
      <c r="P11" s="100">
        <v>171</v>
      </c>
      <c r="Q11" s="48">
        <f t="shared" si="0"/>
        <v>97.469999999999985</v>
      </c>
      <c r="R11" s="86" t="str">
        <f t="shared" si="1"/>
        <v>VERDADEIRO</v>
      </c>
      <c r="S11" s="86">
        <f t="shared" si="2"/>
        <v>104</v>
      </c>
      <c r="T11" s="86" t="str">
        <f t="shared" si="6"/>
        <v>VERDADEIRO</v>
      </c>
      <c r="U11" s="48">
        <f t="shared" si="3"/>
        <v>6.7355240319188867E-2</v>
      </c>
      <c r="V11" s="49">
        <f t="shared" si="10"/>
        <v>2.9284887095299507E-2</v>
      </c>
      <c r="W11" s="52">
        <v>3</v>
      </c>
      <c r="X11" s="86" t="str">
        <f t="shared" si="7"/>
        <v>VERDADEIRO</v>
      </c>
      <c r="Y11" s="89" t="s">
        <v>200</v>
      </c>
      <c r="Z11" s="45" t="s">
        <v>244</v>
      </c>
      <c r="AA11" s="86" t="s">
        <v>175</v>
      </c>
      <c r="AB11" s="46"/>
    </row>
    <row r="12" spans="1:28" x14ac:dyDescent="0.25">
      <c r="A12" s="46"/>
      <c r="B12" s="45" t="s">
        <v>192</v>
      </c>
      <c r="C12" s="48">
        <f>5.4+3</f>
        <v>8.4</v>
      </c>
      <c r="D12" s="48">
        <f>'Balanço de Potências'!G127</f>
        <v>7.3746957194630181</v>
      </c>
      <c r="E12" s="11">
        <f>'Balanço de Potências'!J127</f>
        <v>0.98013319688291567</v>
      </c>
      <c r="F12" s="170"/>
      <c r="G12" s="48" t="s">
        <v>44</v>
      </c>
      <c r="H12" s="48">
        <f t="shared" si="4"/>
        <v>10.644456397058885</v>
      </c>
      <c r="I12" s="100">
        <v>25</v>
      </c>
      <c r="J12" s="100">
        <f t="shared" si="5"/>
        <v>25</v>
      </c>
      <c r="K12" s="115">
        <f t="shared" si="8"/>
        <v>0.56999999999999995</v>
      </c>
      <c r="L12" s="48">
        <f t="shared" si="9"/>
        <v>43.859649122807021</v>
      </c>
      <c r="M12" s="48" t="s">
        <v>180</v>
      </c>
      <c r="N12" s="48" t="s">
        <v>182</v>
      </c>
      <c r="O12" s="100">
        <v>10</v>
      </c>
      <c r="P12" s="100">
        <v>50</v>
      </c>
      <c r="Q12" s="48">
        <f t="shared" si="0"/>
        <v>28.499999999999996</v>
      </c>
      <c r="R12" s="86" t="str">
        <f t="shared" si="1"/>
        <v>VERDADEIRO</v>
      </c>
      <c r="S12" s="86">
        <f t="shared" si="2"/>
        <v>32.5</v>
      </c>
      <c r="T12" s="86" t="str">
        <f t="shared" si="6"/>
        <v>VERDADEIRO</v>
      </c>
      <c r="U12" s="48">
        <f t="shared" si="3"/>
        <v>0.19860216170010819</v>
      </c>
      <c r="V12" s="49">
        <f t="shared" si="10"/>
        <v>8.6348765956568777E-2</v>
      </c>
      <c r="W12" s="52">
        <v>3</v>
      </c>
      <c r="X12" s="86" t="str">
        <f t="shared" si="7"/>
        <v>VERDADEIRO</v>
      </c>
      <c r="Y12" s="89" t="s">
        <v>183</v>
      </c>
      <c r="Z12" s="45" t="s">
        <v>242</v>
      </c>
      <c r="AA12" s="86" t="s">
        <v>177</v>
      </c>
      <c r="AB12" s="46"/>
    </row>
    <row r="13" spans="1:28" x14ac:dyDescent="0.25">
      <c r="A13" s="46"/>
      <c r="B13" s="45" t="s">
        <v>193</v>
      </c>
      <c r="C13" s="48">
        <f>10.6+3</f>
        <v>13.6</v>
      </c>
      <c r="D13" s="48">
        <f>'Balanço de Potências'!G128</f>
        <v>20.839247994131139</v>
      </c>
      <c r="E13" s="11">
        <f>'Balanço de Potências'!J128</f>
        <v>0.99296943786319736</v>
      </c>
      <c r="F13" s="170"/>
      <c r="G13" s="48" t="s">
        <v>44</v>
      </c>
      <c r="H13" s="48">
        <f t="shared" si="4"/>
        <v>30.078863597802457</v>
      </c>
      <c r="I13" s="100">
        <v>32</v>
      </c>
      <c r="J13" s="100">
        <f t="shared" si="5"/>
        <v>32</v>
      </c>
      <c r="K13" s="115">
        <f t="shared" si="8"/>
        <v>0.56999999999999995</v>
      </c>
      <c r="L13" s="48">
        <f t="shared" si="9"/>
        <v>56.140350877192986</v>
      </c>
      <c r="M13" s="48" t="s">
        <v>180</v>
      </c>
      <c r="N13" s="48" t="s">
        <v>182</v>
      </c>
      <c r="O13" s="100">
        <v>16</v>
      </c>
      <c r="P13" s="100">
        <v>68</v>
      </c>
      <c r="Q13" s="48">
        <f t="shared" si="0"/>
        <v>38.76</v>
      </c>
      <c r="R13" s="86" t="str">
        <f t="shared" si="1"/>
        <v>VERDADEIRO</v>
      </c>
      <c r="S13" s="86">
        <f t="shared" si="2"/>
        <v>41.6</v>
      </c>
      <c r="T13" s="86" t="str">
        <f t="shared" si="6"/>
        <v>VERDADEIRO</v>
      </c>
      <c r="U13" s="48">
        <f t="shared" si="3"/>
        <v>0.57508766367203923</v>
      </c>
      <c r="V13" s="49">
        <f t="shared" si="10"/>
        <v>0.25003811464001707</v>
      </c>
      <c r="W13" s="52">
        <v>3</v>
      </c>
      <c r="X13" s="86" t="str">
        <f t="shared" si="7"/>
        <v>VERDADEIRO</v>
      </c>
      <c r="Y13" s="89" t="s">
        <v>184</v>
      </c>
      <c r="Z13" s="45" t="s">
        <v>242</v>
      </c>
      <c r="AA13" s="86" t="s">
        <v>176</v>
      </c>
      <c r="AB13" s="46"/>
    </row>
    <row r="14" spans="1:28" x14ac:dyDescent="0.25">
      <c r="A14" s="46"/>
      <c r="B14" s="45" t="s">
        <v>194</v>
      </c>
      <c r="C14" s="48">
        <f>15.8+3</f>
        <v>18.8</v>
      </c>
      <c r="D14" s="48">
        <f>'Balanço de Potências'!G129</f>
        <v>20.839247994131139</v>
      </c>
      <c r="E14" s="11">
        <f>'Balanço de Potências'!J129</f>
        <v>0.99296943786319736</v>
      </c>
      <c r="F14" s="170"/>
      <c r="G14" s="48" t="s">
        <v>44</v>
      </c>
      <c r="H14" s="48">
        <f t="shared" si="4"/>
        <v>30.078863597802457</v>
      </c>
      <c r="I14" s="100">
        <v>32</v>
      </c>
      <c r="J14" s="100">
        <f t="shared" si="5"/>
        <v>32</v>
      </c>
      <c r="K14" s="115">
        <f t="shared" si="8"/>
        <v>0.56999999999999995</v>
      </c>
      <c r="L14" s="48">
        <f t="shared" si="9"/>
        <v>56.140350877192986</v>
      </c>
      <c r="M14" s="48" t="s">
        <v>180</v>
      </c>
      <c r="N14" s="48" t="s">
        <v>182</v>
      </c>
      <c r="O14" s="100">
        <v>16</v>
      </c>
      <c r="P14" s="100">
        <v>68</v>
      </c>
      <c r="Q14" s="48">
        <f t="shared" si="0"/>
        <v>38.76</v>
      </c>
      <c r="R14" s="86" t="str">
        <f t="shared" si="1"/>
        <v>VERDADEIRO</v>
      </c>
      <c r="S14" s="86">
        <f t="shared" si="2"/>
        <v>41.6</v>
      </c>
      <c r="T14" s="86" t="str">
        <f t="shared" si="6"/>
        <v>VERDADEIRO</v>
      </c>
      <c r="U14" s="48">
        <f t="shared" si="3"/>
        <v>0.79497412331134842</v>
      </c>
      <c r="V14" s="49">
        <f t="shared" si="10"/>
        <v>0.34564092317884715</v>
      </c>
      <c r="W14" s="52">
        <v>3</v>
      </c>
      <c r="X14" s="86" t="str">
        <f t="shared" si="7"/>
        <v>VERDADEIRO</v>
      </c>
      <c r="Y14" s="89" t="s">
        <v>184</v>
      </c>
      <c r="Z14" s="45" t="s">
        <v>242</v>
      </c>
      <c r="AA14" s="86" t="s">
        <v>176</v>
      </c>
      <c r="AB14" s="46"/>
    </row>
    <row r="15" spans="1:28" x14ac:dyDescent="0.25">
      <c r="A15" s="46"/>
      <c r="B15" s="45" t="s">
        <v>195</v>
      </c>
      <c r="C15" s="48">
        <f>29+3</f>
        <v>32</v>
      </c>
      <c r="D15" s="48">
        <f>'Balanço de Potências'!G130</f>
        <v>19.388366217547308</v>
      </c>
      <c r="E15" s="11">
        <f>'Balanço de Potências'!J130</f>
        <v>0.88968390793432683</v>
      </c>
      <c r="F15" s="170"/>
      <c r="G15" s="48" t="s">
        <v>44</v>
      </c>
      <c r="H15" s="48">
        <f t="shared" si="4"/>
        <v>27.984696137119961</v>
      </c>
      <c r="I15" s="100">
        <v>32</v>
      </c>
      <c r="J15" s="100">
        <f t="shared" si="5"/>
        <v>32</v>
      </c>
      <c r="K15" s="115">
        <f t="shared" si="8"/>
        <v>0.56999999999999995</v>
      </c>
      <c r="L15" s="48">
        <f t="shared" si="9"/>
        <v>56.140350877192986</v>
      </c>
      <c r="M15" s="48" t="s">
        <v>180</v>
      </c>
      <c r="N15" s="48" t="s">
        <v>182</v>
      </c>
      <c r="O15" s="100">
        <v>16</v>
      </c>
      <c r="P15" s="100">
        <v>68</v>
      </c>
      <c r="Q15" s="48">
        <f t="shared" si="0"/>
        <v>38.76</v>
      </c>
      <c r="R15" s="86" t="str">
        <f t="shared" si="1"/>
        <v>VERDADEIRO</v>
      </c>
      <c r="S15" s="86">
        <f t="shared" si="2"/>
        <v>41.6</v>
      </c>
      <c r="T15" s="86" t="str">
        <f t="shared" si="6"/>
        <v>VERDADEIRO</v>
      </c>
      <c r="U15" s="48">
        <f t="shared" si="3"/>
        <v>1.153098572592965</v>
      </c>
      <c r="V15" s="49">
        <f t="shared" si="10"/>
        <v>0.50134720547520217</v>
      </c>
      <c r="W15" s="52">
        <v>3</v>
      </c>
      <c r="X15" s="86" t="str">
        <f t="shared" si="7"/>
        <v>VERDADEIRO</v>
      </c>
      <c r="Y15" s="89" t="s">
        <v>184</v>
      </c>
      <c r="Z15" s="45" t="s">
        <v>242</v>
      </c>
      <c r="AA15" s="86" t="s">
        <v>176</v>
      </c>
      <c r="AB15" s="46"/>
    </row>
    <row r="16" spans="1:28" x14ac:dyDescent="0.25">
      <c r="A16" s="46"/>
      <c r="B16" s="45" t="s">
        <v>196</v>
      </c>
      <c r="C16" s="48">
        <f>32.8+3</f>
        <v>35.799999999999997</v>
      </c>
      <c r="D16" s="48">
        <f>'Balanço de Potências'!G131</f>
        <v>4.2248352543467389</v>
      </c>
      <c r="E16" s="11">
        <f>'Balanço de Potências'!J131</f>
        <v>0.99653213393927631</v>
      </c>
      <c r="F16" s="171"/>
      <c r="G16" s="48" t="s">
        <v>44</v>
      </c>
      <c r="H16" s="48">
        <f t="shared" si="4"/>
        <v>6.0980244284472773</v>
      </c>
      <c r="I16" s="100">
        <v>25</v>
      </c>
      <c r="J16" s="100">
        <f t="shared" si="5"/>
        <v>25</v>
      </c>
      <c r="K16" s="115">
        <f t="shared" si="8"/>
        <v>0.56999999999999995</v>
      </c>
      <c r="L16" s="48">
        <f t="shared" si="9"/>
        <v>43.859649122807021</v>
      </c>
      <c r="M16" s="48" t="s">
        <v>180</v>
      </c>
      <c r="N16" s="48" t="s">
        <v>182</v>
      </c>
      <c r="O16" s="100">
        <v>10</v>
      </c>
      <c r="P16" s="100">
        <v>50</v>
      </c>
      <c r="Q16" s="48">
        <f t="shared" si="0"/>
        <v>28.499999999999996</v>
      </c>
      <c r="R16" s="86" t="str">
        <f t="shared" si="1"/>
        <v>VERDADEIRO</v>
      </c>
      <c r="S16" s="86">
        <f t="shared" si="2"/>
        <v>32.5</v>
      </c>
      <c r="T16" s="86" t="str">
        <f t="shared" si="6"/>
        <v>VERDADEIRO</v>
      </c>
      <c r="U16" s="48">
        <f t="shared" si="3"/>
        <v>0.49094568662463584</v>
      </c>
      <c r="V16" s="49">
        <f t="shared" si="10"/>
        <v>0.21345464635853734</v>
      </c>
      <c r="W16" s="52">
        <v>3</v>
      </c>
      <c r="X16" s="86" t="str">
        <f t="shared" si="7"/>
        <v>VERDADEIRO</v>
      </c>
      <c r="Y16" s="89" t="s">
        <v>183</v>
      </c>
      <c r="Z16" s="45" t="s">
        <v>242</v>
      </c>
      <c r="AA16" s="86" t="s">
        <v>177</v>
      </c>
      <c r="AB16" s="46"/>
    </row>
    <row r="17" spans="1:28" x14ac:dyDescent="0.25">
      <c r="A17" s="46"/>
      <c r="B17" s="45" t="s">
        <v>257</v>
      </c>
      <c r="C17" s="48">
        <v>1</v>
      </c>
      <c r="D17" s="48">
        <v>30</v>
      </c>
      <c r="E17" s="11">
        <v>0.98</v>
      </c>
      <c r="F17" s="154"/>
      <c r="G17" s="48" t="s">
        <v>44</v>
      </c>
      <c r="H17" s="48">
        <f t="shared" si="4"/>
        <v>43.301270189221931</v>
      </c>
      <c r="I17" s="100">
        <v>80</v>
      </c>
      <c r="J17" s="100">
        <f t="shared" si="5"/>
        <v>80</v>
      </c>
      <c r="K17" s="115">
        <f t="shared" si="8"/>
        <v>0.56999999999999995</v>
      </c>
      <c r="L17" s="48">
        <f t="shared" si="9"/>
        <v>140.35087719298247</v>
      </c>
      <c r="M17" s="48" t="s">
        <v>180</v>
      </c>
      <c r="N17" s="48" t="s">
        <v>182</v>
      </c>
      <c r="O17" s="100">
        <v>70</v>
      </c>
      <c r="P17" s="100">
        <v>171</v>
      </c>
      <c r="Q17" s="48">
        <f t="shared" si="0"/>
        <v>97.469999999999985</v>
      </c>
      <c r="R17" s="136" t="str">
        <f t="shared" si="1"/>
        <v>VERDADEIRO</v>
      </c>
      <c r="S17" s="136">
        <f t="shared" si="2"/>
        <v>104</v>
      </c>
      <c r="T17" s="136" t="str">
        <f t="shared" si="6"/>
        <v>VERDADEIRO</v>
      </c>
      <c r="U17" s="145">
        <f t="shared" si="3"/>
        <v>1.432924762718947E-2</v>
      </c>
      <c r="V17" s="115">
        <f t="shared" si="10"/>
        <v>6.2301076639954215E-3</v>
      </c>
      <c r="W17" s="129">
        <v>3</v>
      </c>
      <c r="X17" s="136" t="str">
        <f t="shared" si="7"/>
        <v>VERDADEIRO</v>
      </c>
      <c r="Y17" s="130" t="s">
        <v>258</v>
      </c>
      <c r="Z17" s="45" t="s">
        <v>259</v>
      </c>
      <c r="AA17" s="136" t="s">
        <v>175</v>
      </c>
      <c r="AB17" s="46"/>
    </row>
    <row r="18" spans="1:28" x14ac:dyDescent="0.25">
      <c r="A18" s="46"/>
      <c r="B18" s="46"/>
      <c r="F18" s="46"/>
      <c r="G18" s="46"/>
      <c r="H18" s="46"/>
      <c r="K18" s="112"/>
      <c r="L18" s="46"/>
      <c r="M18" s="46"/>
      <c r="N18" s="46"/>
      <c r="O18" s="46"/>
      <c r="P18" s="46"/>
      <c r="Q18" s="46"/>
      <c r="Y18" s="46"/>
      <c r="Z18" s="46"/>
      <c r="AA18" s="46"/>
      <c r="AB18" s="46"/>
    </row>
    <row r="19" spans="1:28" s="51" customFormat="1" ht="32.25" x14ac:dyDescent="0.25">
      <c r="A19" s="113"/>
      <c r="B19" s="114" t="s">
        <v>75</v>
      </c>
      <c r="C19" s="47" t="s">
        <v>20</v>
      </c>
      <c r="D19" s="47" t="s">
        <v>76</v>
      </c>
      <c r="E19" s="47" t="s">
        <v>78</v>
      </c>
      <c r="F19" s="47" t="s">
        <v>40</v>
      </c>
      <c r="G19" s="47" t="s">
        <v>42</v>
      </c>
      <c r="H19" s="47" t="s">
        <v>21</v>
      </c>
      <c r="I19" s="47" t="s">
        <v>22</v>
      </c>
      <c r="J19" s="47" t="s">
        <v>106</v>
      </c>
      <c r="K19" s="47" t="s">
        <v>74</v>
      </c>
      <c r="L19" s="47" t="s">
        <v>25</v>
      </c>
      <c r="M19" s="47" t="s">
        <v>49</v>
      </c>
      <c r="N19" s="47" t="s">
        <v>179</v>
      </c>
      <c r="O19" s="47" t="s">
        <v>24</v>
      </c>
      <c r="P19" s="47" t="s">
        <v>23</v>
      </c>
      <c r="Q19" s="47" t="s">
        <v>104</v>
      </c>
      <c r="R19" s="47" t="s">
        <v>28</v>
      </c>
      <c r="S19" s="47" t="s">
        <v>107</v>
      </c>
      <c r="T19" s="47" t="s">
        <v>108</v>
      </c>
      <c r="U19" s="47" t="s">
        <v>26</v>
      </c>
      <c r="V19" s="47" t="s">
        <v>27</v>
      </c>
      <c r="W19" s="47" t="s">
        <v>110</v>
      </c>
      <c r="X19" s="47" t="s">
        <v>109</v>
      </c>
      <c r="Y19" s="47" t="s">
        <v>103</v>
      </c>
      <c r="Z19" s="116" t="s">
        <v>45</v>
      </c>
      <c r="AA19" s="91"/>
      <c r="AB19" s="113"/>
    </row>
    <row r="20" spans="1:28" x14ac:dyDescent="0.25">
      <c r="A20" s="46"/>
      <c r="B20" s="97" t="s">
        <v>11</v>
      </c>
      <c r="C20" s="58">
        <f>1.5+0.45+5.8+1.5</f>
        <v>9.25</v>
      </c>
      <c r="D20" s="48">
        <f>'Balanço de Potências'!M9</f>
        <v>1.03125</v>
      </c>
      <c r="E20" s="86">
        <f>'Balanço de Potências'!H9</f>
        <v>0.8</v>
      </c>
      <c r="F20" s="172" t="s">
        <v>71</v>
      </c>
      <c r="G20" s="45" t="s">
        <v>72</v>
      </c>
      <c r="H20" s="48">
        <f>(D20*1000)/(400*SQRT(3))</f>
        <v>1.488481162754504</v>
      </c>
      <c r="I20" s="45">
        <v>10</v>
      </c>
      <c r="J20" s="100">
        <f>I20</f>
        <v>10</v>
      </c>
      <c r="K20" s="88">
        <f>0.57</f>
        <v>0.56999999999999995</v>
      </c>
      <c r="L20" s="48">
        <f>H20/K20</f>
        <v>2.6113704609728141</v>
      </c>
      <c r="M20" s="48" t="s">
        <v>180</v>
      </c>
      <c r="N20" s="48" t="s">
        <v>202</v>
      </c>
      <c r="O20" s="45">
        <v>4</v>
      </c>
      <c r="P20" s="45">
        <v>23</v>
      </c>
      <c r="Q20" s="48">
        <f t="shared" ref="Q20:Q24" si="11">P20*K20</f>
        <v>13.11</v>
      </c>
      <c r="R20" s="86" t="str">
        <f t="shared" ref="R20:R24" si="12">IF(AND(H20&lt;=I20,I20&lt;=Q20),"VERDADEIRO","FALSO")</f>
        <v>VERDADEIRO</v>
      </c>
      <c r="S20" s="86">
        <f t="shared" ref="S20:S30" si="13">1.3*J20</f>
        <v>13</v>
      </c>
      <c r="T20" s="86" t="str">
        <f>IF(S20&lt;=1.45*Q20,"VERDADEIRO","FALSO")</f>
        <v>VERDADEIRO</v>
      </c>
      <c r="U20" s="48">
        <f t="shared" ref="U20:U25" si="14">((0.0225*(C20/O20))*E20+0.08/1000*C20*SIN(ACOS(E20)))*H20</f>
        <v>6.2618914035919238E-2</v>
      </c>
      <c r="V20" s="48">
        <f>(100*U20)/230</f>
        <v>2.7225614798225755E-2</v>
      </c>
      <c r="W20" s="52">
        <v>5</v>
      </c>
      <c r="X20" s="86" t="str">
        <f t="shared" ref="X20:X25" si="15">IF(V20&lt;=W20,"VERDADEIRO","FALSO")</f>
        <v>VERDADEIRO</v>
      </c>
      <c r="Y20" s="89" t="s">
        <v>205</v>
      </c>
      <c r="Z20" s="87" t="s">
        <v>237</v>
      </c>
      <c r="AA20" s="117"/>
      <c r="AB20" s="46"/>
    </row>
    <row r="21" spans="1:28" x14ac:dyDescent="0.25">
      <c r="A21" s="46"/>
      <c r="B21" s="97" t="s">
        <v>12</v>
      </c>
      <c r="C21" s="58">
        <f>1.5+0.4+7.1+4+1.5</f>
        <v>14.5</v>
      </c>
      <c r="D21" s="48">
        <f>'Balanço de Potências'!M10</f>
        <v>2.0625</v>
      </c>
      <c r="E21" s="86">
        <f>'Balanço de Potências'!H10</f>
        <v>0.8</v>
      </c>
      <c r="F21" s="173"/>
      <c r="G21" s="45" t="s">
        <v>72</v>
      </c>
      <c r="H21" s="48">
        <f t="shared" ref="H21:H25" si="16">(D21*1000)/(400*SQRT(3))</f>
        <v>2.9769623255090081</v>
      </c>
      <c r="I21" s="45">
        <v>10</v>
      </c>
      <c r="J21" s="100">
        <f t="shared" ref="J21:J25" si="17">I21</f>
        <v>10</v>
      </c>
      <c r="K21" s="88">
        <f t="shared" ref="K21:K25" si="18">0.57</f>
        <v>0.56999999999999995</v>
      </c>
      <c r="L21" s="48">
        <f t="shared" ref="L21:L25" si="19">H21/K21</f>
        <v>5.2227409219456282</v>
      </c>
      <c r="M21" s="48" t="s">
        <v>180</v>
      </c>
      <c r="N21" s="48" t="s">
        <v>202</v>
      </c>
      <c r="O21" s="45">
        <v>4</v>
      </c>
      <c r="P21" s="45">
        <v>23</v>
      </c>
      <c r="Q21" s="48">
        <f t="shared" si="11"/>
        <v>13.11</v>
      </c>
      <c r="R21" s="86" t="str">
        <f t="shared" si="12"/>
        <v>VERDADEIRO</v>
      </c>
      <c r="S21" s="86">
        <f t="shared" si="13"/>
        <v>13</v>
      </c>
      <c r="T21" s="86" t="str">
        <f t="shared" ref="T21:T25" si="20">IF(S21&lt;=1.45*Q21,"VERDADEIRO","FALSO")</f>
        <v>VERDADEIRO</v>
      </c>
      <c r="U21" s="48">
        <f t="shared" si="14"/>
        <v>0.19631875751801706</v>
      </c>
      <c r="V21" s="48">
        <f t="shared" ref="V21:V25" si="21">(100*U21)/230</f>
        <v>8.5355981529572633E-2</v>
      </c>
      <c r="W21" s="52">
        <v>5</v>
      </c>
      <c r="X21" s="86" t="str">
        <f t="shared" si="15"/>
        <v>VERDADEIRO</v>
      </c>
      <c r="Y21" s="89" t="s">
        <v>205</v>
      </c>
      <c r="Z21" s="87" t="s">
        <v>237</v>
      </c>
      <c r="AA21" s="117"/>
      <c r="AB21" s="46"/>
    </row>
    <row r="22" spans="1:28" x14ac:dyDescent="0.25">
      <c r="A22" s="46"/>
      <c r="B22" s="97" t="s">
        <v>13</v>
      </c>
      <c r="C22" s="58">
        <f>1.5+0.45+7.1+9.7+1.5</f>
        <v>20.25</v>
      </c>
      <c r="D22" s="48">
        <f>'Balanço de Potências'!M11</f>
        <v>2.8124999999999996</v>
      </c>
      <c r="E22" s="86">
        <f>'Balanço de Potências'!H11</f>
        <v>0.8</v>
      </c>
      <c r="F22" s="173"/>
      <c r="G22" s="45" t="s">
        <v>72</v>
      </c>
      <c r="H22" s="48">
        <f t="shared" si="16"/>
        <v>4.0594940802395554</v>
      </c>
      <c r="I22" s="45">
        <v>10</v>
      </c>
      <c r="J22" s="100">
        <f t="shared" si="17"/>
        <v>10</v>
      </c>
      <c r="K22" s="88">
        <f t="shared" si="18"/>
        <v>0.56999999999999995</v>
      </c>
      <c r="L22" s="48">
        <f t="shared" si="19"/>
        <v>7.1219194390167644</v>
      </c>
      <c r="M22" s="48" t="s">
        <v>180</v>
      </c>
      <c r="N22" s="48" t="s">
        <v>202</v>
      </c>
      <c r="O22" s="45">
        <v>4</v>
      </c>
      <c r="P22" s="45">
        <v>23</v>
      </c>
      <c r="Q22" s="48">
        <f t="shared" si="11"/>
        <v>13.11</v>
      </c>
      <c r="R22" s="86" t="str">
        <f t="shared" si="12"/>
        <v>VERDADEIRO</v>
      </c>
      <c r="S22" s="86">
        <f t="shared" si="13"/>
        <v>13</v>
      </c>
      <c r="T22" s="86" t="str">
        <f t="shared" si="20"/>
        <v>VERDADEIRO</v>
      </c>
      <c r="U22" s="48">
        <f t="shared" si="14"/>
        <v>0.37386722630782238</v>
      </c>
      <c r="V22" s="48">
        <f t="shared" si="21"/>
        <v>0.16255096795992277</v>
      </c>
      <c r="W22" s="52">
        <v>5</v>
      </c>
      <c r="X22" s="86" t="str">
        <f t="shared" si="15"/>
        <v>VERDADEIRO</v>
      </c>
      <c r="Y22" s="89" t="s">
        <v>205</v>
      </c>
      <c r="Z22" s="87" t="s">
        <v>237</v>
      </c>
      <c r="AA22" s="117"/>
      <c r="AB22" s="46"/>
    </row>
    <row r="23" spans="1:28" x14ac:dyDescent="0.25">
      <c r="A23" s="46"/>
      <c r="B23" s="97" t="s">
        <v>14</v>
      </c>
      <c r="C23" s="58">
        <f>1.5+0.45+7.1+12.7+1.5</f>
        <v>23.25</v>
      </c>
      <c r="D23" s="48">
        <f>'Balanço de Potências'!M12</f>
        <v>2.0625</v>
      </c>
      <c r="E23" s="86">
        <f>'Balanço de Potências'!H12</f>
        <v>0.8</v>
      </c>
      <c r="F23" s="173"/>
      <c r="G23" s="45" t="s">
        <v>72</v>
      </c>
      <c r="H23" s="48">
        <f t="shared" si="16"/>
        <v>2.9769623255090081</v>
      </c>
      <c r="I23" s="45">
        <v>10</v>
      </c>
      <c r="J23" s="100">
        <f t="shared" si="17"/>
        <v>10</v>
      </c>
      <c r="K23" s="88">
        <f t="shared" si="18"/>
        <v>0.56999999999999995</v>
      </c>
      <c r="L23" s="48">
        <f t="shared" si="19"/>
        <v>5.2227409219456282</v>
      </c>
      <c r="M23" s="48" t="s">
        <v>180</v>
      </c>
      <c r="N23" s="48" t="s">
        <v>202</v>
      </c>
      <c r="O23" s="45">
        <v>4</v>
      </c>
      <c r="P23" s="45">
        <v>23</v>
      </c>
      <c r="Q23" s="48">
        <f t="shared" si="11"/>
        <v>13.11</v>
      </c>
      <c r="R23" s="86" t="str">
        <f t="shared" si="12"/>
        <v>VERDADEIRO</v>
      </c>
      <c r="S23" s="86">
        <f t="shared" si="13"/>
        <v>13</v>
      </c>
      <c r="T23" s="86" t="str">
        <f t="shared" si="20"/>
        <v>VERDADEIRO</v>
      </c>
      <c r="U23" s="48">
        <f t="shared" si="14"/>
        <v>0.31478697326164801</v>
      </c>
      <c r="V23" s="48">
        <f t="shared" si="21"/>
        <v>0.13686390141810784</v>
      </c>
      <c r="W23" s="52">
        <v>5</v>
      </c>
      <c r="X23" s="86" t="str">
        <f t="shared" si="15"/>
        <v>VERDADEIRO</v>
      </c>
      <c r="Y23" s="89" t="s">
        <v>205</v>
      </c>
      <c r="Z23" s="87" t="s">
        <v>237</v>
      </c>
      <c r="AA23" s="117"/>
      <c r="AB23" s="46"/>
    </row>
    <row r="24" spans="1:28" x14ac:dyDescent="0.25">
      <c r="A24" s="46"/>
      <c r="B24" s="97" t="s">
        <v>15</v>
      </c>
      <c r="C24" s="58">
        <f>1.5+0.45+7.1+13.7+6.7+1.5</f>
        <v>30.95</v>
      </c>
      <c r="D24" s="48">
        <f>'Balanço de Potências'!M13</f>
        <v>1.5</v>
      </c>
      <c r="E24" s="86">
        <f>'Balanço de Potências'!H13</f>
        <v>0.8</v>
      </c>
      <c r="F24" s="173"/>
      <c r="G24" s="45" t="s">
        <v>72</v>
      </c>
      <c r="H24" s="48">
        <f t="shared" si="16"/>
        <v>2.1650635094610968</v>
      </c>
      <c r="I24" s="45">
        <v>10</v>
      </c>
      <c r="J24" s="100">
        <f t="shared" si="17"/>
        <v>10</v>
      </c>
      <c r="K24" s="88">
        <f t="shared" si="18"/>
        <v>0.56999999999999995</v>
      </c>
      <c r="L24" s="48">
        <f t="shared" si="19"/>
        <v>3.7983570341422754</v>
      </c>
      <c r="M24" s="48" t="s">
        <v>180</v>
      </c>
      <c r="N24" s="48" t="s">
        <v>202</v>
      </c>
      <c r="O24" s="45">
        <v>4</v>
      </c>
      <c r="P24" s="45">
        <v>23</v>
      </c>
      <c r="Q24" s="48">
        <f t="shared" si="11"/>
        <v>13.11</v>
      </c>
      <c r="R24" s="86" t="str">
        <f t="shared" si="12"/>
        <v>VERDADEIRO</v>
      </c>
      <c r="S24" s="86">
        <f t="shared" si="13"/>
        <v>13</v>
      </c>
      <c r="T24" s="86" t="str">
        <f t="shared" si="20"/>
        <v>VERDADEIRO</v>
      </c>
      <c r="U24" s="48">
        <f t="shared" si="14"/>
        <v>0.30475563862984967</v>
      </c>
      <c r="V24" s="48">
        <f t="shared" si="21"/>
        <v>0.13250245157819551</v>
      </c>
      <c r="W24" s="52">
        <v>5</v>
      </c>
      <c r="X24" s="86" t="str">
        <f t="shared" si="15"/>
        <v>VERDADEIRO</v>
      </c>
      <c r="Y24" s="89" t="s">
        <v>205</v>
      </c>
      <c r="Z24" s="87" t="s">
        <v>237</v>
      </c>
      <c r="AA24" s="117"/>
      <c r="AB24" s="46"/>
    </row>
    <row r="25" spans="1:28" x14ac:dyDescent="0.25">
      <c r="A25" s="46"/>
      <c r="B25" s="97" t="s">
        <v>16</v>
      </c>
      <c r="C25" s="58">
        <f>1.5+0.45+7.1+7+1.5</f>
        <v>17.549999999999997</v>
      </c>
      <c r="D25" s="48">
        <f>'Balanço de Potências'!M14</f>
        <v>18.749999999999996</v>
      </c>
      <c r="E25" s="86">
        <f>'Balanço de Potências'!H14</f>
        <v>0.8</v>
      </c>
      <c r="F25" s="174"/>
      <c r="G25" s="45" t="s">
        <v>72</v>
      </c>
      <c r="H25" s="48">
        <f t="shared" si="16"/>
        <v>27.063293868263703</v>
      </c>
      <c r="I25" s="45">
        <v>32</v>
      </c>
      <c r="J25" s="100">
        <f t="shared" si="17"/>
        <v>32</v>
      </c>
      <c r="K25" s="88">
        <f t="shared" si="18"/>
        <v>0.56999999999999995</v>
      </c>
      <c r="L25" s="48">
        <f t="shared" si="19"/>
        <v>47.479462926778432</v>
      </c>
      <c r="M25" s="48" t="s">
        <v>180</v>
      </c>
      <c r="N25" s="48" t="s">
        <v>202</v>
      </c>
      <c r="O25" s="45">
        <v>25</v>
      </c>
      <c r="P25" s="45">
        <v>68</v>
      </c>
      <c r="Q25" s="48">
        <f>P25*K25</f>
        <v>38.76</v>
      </c>
      <c r="R25" s="86" t="str">
        <f>IF(AND(H25&lt;=I25,I25&lt;=Q25),"VERDADEIRO","FALSO")</f>
        <v>VERDADEIRO</v>
      </c>
      <c r="S25" s="86">
        <f t="shared" si="13"/>
        <v>41.6</v>
      </c>
      <c r="T25" s="86" t="str">
        <f t="shared" si="20"/>
        <v>VERDADEIRO</v>
      </c>
      <c r="U25" s="48">
        <f t="shared" si="14"/>
        <v>0.36476990007400545</v>
      </c>
      <c r="V25" s="48">
        <f t="shared" si="21"/>
        <v>0.15859560872782846</v>
      </c>
      <c r="W25" s="52">
        <v>5</v>
      </c>
      <c r="X25" s="86" t="str">
        <f t="shared" si="15"/>
        <v>VERDADEIRO</v>
      </c>
      <c r="Y25" s="89" t="s">
        <v>204</v>
      </c>
      <c r="Z25" s="118" t="s">
        <v>236</v>
      </c>
      <c r="AA25" s="117"/>
      <c r="AB25" s="46"/>
    </row>
    <row r="26" spans="1:28" x14ac:dyDescent="0.25">
      <c r="Z26" s="92"/>
      <c r="AA26" s="90"/>
    </row>
    <row r="27" spans="1:28" x14ac:dyDescent="0.25">
      <c r="B27" s="97" t="s">
        <v>178</v>
      </c>
      <c r="C27" s="45">
        <v>7</v>
      </c>
      <c r="D27" s="48">
        <f>'Balanço de Potências'!G96</f>
        <v>15.325670498084289</v>
      </c>
      <c r="E27" s="126">
        <f>'Balanço de Potências'!H96</f>
        <v>0.87</v>
      </c>
      <c r="F27" s="172" t="s">
        <v>71</v>
      </c>
      <c r="G27" s="9" t="s">
        <v>72</v>
      </c>
      <c r="H27" s="48">
        <f>(D27*1000)/(400*SQRT(3))</f>
        <v>22.120699968951175</v>
      </c>
      <c r="I27" s="45">
        <v>25</v>
      </c>
      <c r="J27" s="45">
        <v>25</v>
      </c>
      <c r="K27" s="132">
        <v>1</v>
      </c>
      <c r="L27" s="48">
        <f>H27/K27</f>
        <v>22.120699968951175</v>
      </c>
      <c r="M27" s="128" t="s">
        <v>203</v>
      </c>
      <c r="N27" s="128" t="s">
        <v>182</v>
      </c>
      <c r="O27" s="100">
        <v>6</v>
      </c>
      <c r="P27" s="100">
        <v>29</v>
      </c>
      <c r="Q27" s="48">
        <f>P27*K27</f>
        <v>29</v>
      </c>
      <c r="R27" s="126" t="str">
        <f>IF(AND(H27&lt;=I27,I27&lt;=Q27),"VERDADEIRO","FALSO")</f>
        <v>VERDADEIRO</v>
      </c>
      <c r="S27" s="126">
        <f t="shared" si="13"/>
        <v>32.5</v>
      </c>
      <c r="T27" s="126" t="str">
        <f>IF(S27&lt;=1.45*Q27,"VERDADEIRO","FALSO")</f>
        <v>VERDADEIRO</v>
      </c>
      <c r="U27" s="48">
        <f t="shared" ref="U27" si="22">((0.0225*(C27/O27))*E27+0.08/1000*C27*SIN(ACOS(E27)))*H27</f>
        <v>0.51128920909225817</v>
      </c>
      <c r="V27" s="48">
        <f t="shared" ref="V27:V30" si="23">(100*U27)/230</f>
        <v>0.22229965612706878</v>
      </c>
      <c r="W27" s="129">
        <v>5</v>
      </c>
      <c r="X27" s="126" t="str">
        <f t="shared" ref="X27:X30" si="24">IF(V27&lt;=W27,"VERDADEIRO","FALSO")</f>
        <v>VERDADEIRO</v>
      </c>
      <c r="Y27" s="130" t="s">
        <v>224</v>
      </c>
      <c r="Z27" s="45" t="s">
        <v>236</v>
      </c>
    </row>
    <row r="28" spans="1:28" x14ac:dyDescent="0.25">
      <c r="B28" s="97" t="s">
        <v>226</v>
      </c>
      <c r="C28" s="45">
        <v>37</v>
      </c>
      <c r="D28" s="48">
        <f>'Balanço de Potências'!M6/10</f>
        <v>1.1039999999999999</v>
      </c>
      <c r="E28" s="131">
        <v>1</v>
      </c>
      <c r="F28" s="173"/>
      <c r="G28" s="100" t="s">
        <v>72</v>
      </c>
      <c r="H28" s="48">
        <f>D28*1000/230</f>
        <v>4.7999999999999989</v>
      </c>
      <c r="I28" s="45">
        <v>16</v>
      </c>
      <c r="J28" s="45">
        <v>16</v>
      </c>
      <c r="K28" s="132">
        <v>1</v>
      </c>
      <c r="L28" s="48">
        <f>H28/K28</f>
        <v>4.7999999999999989</v>
      </c>
      <c r="M28" s="128" t="s">
        <v>203</v>
      </c>
      <c r="N28" s="128" t="s">
        <v>182</v>
      </c>
      <c r="O28" s="100">
        <v>2.5</v>
      </c>
      <c r="P28" s="100">
        <v>18.5</v>
      </c>
      <c r="Q28" s="48">
        <f>P28*K28</f>
        <v>18.5</v>
      </c>
      <c r="R28" s="131" t="str">
        <f>IF(AND(H28&lt;=I28,I28&lt;=Q28),"VERDADEIRO","FALSO")</f>
        <v>VERDADEIRO</v>
      </c>
      <c r="S28" s="131">
        <f t="shared" si="13"/>
        <v>20.8</v>
      </c>
      <c r="T28" s="131" t="str">
        <f>IF(S28&lt;=1.45*Q28,"VERDADEIRO","FALSO")</f>
        <v>VERDADEIRO</v>
      </c>
      <c r="U28" s="48">
        <f>((0.0225*(C28/O28))*E28+0.08/1000*C28*SIN(ACOS(E28)))*H28</f>
        <v>1.5983999999999998</v>
      </c>
      <c r="V28" s="48">
        <f t="shared" si="23"/>
        <v>0.69495652173913036</v>
      </c>
      <c r="W28" s="129">
        <v>5</v>
      </c>
      <c r="X28" s="131" t="str">
        <f t="shared" si="24"/>
        <v>VERDADEIRO</v>
      </c>
      <c r="Y28" s="130" t="s">
        <v>225</v>
      </c>
      <c r="Z28" s="100" t="s">
        <v>238</v>
      </c>
    </row>
    <row r="29" spans="1:28" x14ac:dyDescent="0.25">
      <c r="B29" s="97" t="s">
        <v>227</v>
      </c>
      <c r="C29" s="45">
        <v>36</v>
      </c>
      <c r="D29" s="48">
        <f>'Balanço de Potências'!M7/10</f>
        <v>3.325537550532244</v>
      </c>
      <c r="E29" s="131">
        <v>1</v>
      </c>
      <c r="F29" s="173"/>
      <c r="G29" s="100" t="s">
        <v>72</v>
      </c>
      <c r="H29" s="9">
        <f>(D29*1000)/(400*SQRT(3))</f>
        <v>4.8</v>
      </c>
      <c r="I29" s="45">
        <v>16</v>
      </c>
      <c r="J29" s="45">
        <v>16</v>
      </c>
      <c r="K29" s="132">
        <v>1</v>
      </c>
      <c r="L29" s="48">
        <f>H29/K29</f>
        <v>4.8</v>
      </c>
      <c r="M29" s="128" t="s">
        <v>203</v>
      </c>
      <c r="N29" s="128" t="s">
        <v>182</v>
      </c>
      <c r="O29" s="100">
        <v>2.5</v>
      </c>
      <c r="P29" s="100">
        <v>17.5</v>
      </c>
      <c r="Q29" s="128">
        <f>P29*K29</f>
        <v>17.5</v>
      </c>
      <c r="R29" s="131" t="str">
        <f>IF(AND(H29&lt;=I29,I29&lt;=Q29),"VERDADEIRO","FALSO")</f>
        <v>VERDADEIRO</v>
      </c>
      <c r="S29" s="131">
        <f t="shared" si="13"/>
        <v>20.8</v>
      </c>
      <c r="T29" s="131" t="str">
        <f>IF(S29&lt;=1.45*Q29,"VERDADEIRO","FALSO")</f>
        <v>VERDADEIRO</v>
      </c>
      <c r="U29" s="48">
        <f>((0.0225*(C29/O29))*E29+0.08/1000*C29*SIN(ACOS(E29)))*H29</f>
        <v>1.5551999999999999</v>
      </c>
      <c r="V29" s="48">
        <f t="shared" si="23"/>
        <v>0.67617391304347818</v>
      </c>
      <c r="W29" s="129">
        <v>5</v>
      </c>
      <c r="X29" s="131" t="str">
        <f t="shared" si="24"/>
        <v>VERDADEIRO</v>
      </c>
      <c r="Y29" s="130" t="s">
        <v>228</v>
      </c>
      <c r="Z29" s="100" t="s">
        <v>238</v>
      </c>
    </row>
    <row r="30" spans="1:28" x14ac:dyDescent="0.25">
      <c r="B30" s="97" t="s">
        <v>5</v>
      </c>
      <c r="C30" s="45">
        <v>37</v>
      </c>
      <c r="D30" s="45">
        <v>1.3</v>
      </c>
      <c r="E30" s="131">
        <v>0.86</v>
      </c>
      <c r="F30" s="174"/>
      <c r="G30" s="100" t="s">
        <v>72</v>
      </c>
      <c r="H30" s="135">
        <f>D30*1000/230</f>
        <v>5.6521739130434785</v>
      </c>
      <c r="I30" s="45">
        <v>10</v>
      </c>
      <c r="J30" s="45">
        <v>10</v>
      </c>
      <c r="K30" s="132">
        <v>1</v>
      </c>
      <c r="L30" s="48">
        <f>H30/K30</f>
        <v>5.6521739130434785</v>
      </c>
      <c r="M30" s="128" t="s">
        <v>203</v>
      </c>
      <c r="N30" s="128" t="s">
        <v>182</v>
      </c>
      <c r="O30" s="100">
        <v>1.5</v>
      </c>
      <c r="P30" s="100">
        <v>14</v>
      </c>
      <c r="Q30" s="128">
        <f>P30*K30</f>
        <v>14</v>
      </c>
      <c r="R30" s="131" t="str">
        <f>IF(AND(H30&lt;=I30,I30&lt;=Q30),"VERDADEIRO","FALSO")</f>
        <v>VERDADEIRO</v>
      </c>
      <c r="S30" s="131">
        <f t="shared" si="13"/>
        <v>13</v>
      </c>
      <c r="T30" s="131" t="str">
        <f>IF(S30&lt;=1.45*Q30,"VERDADEIRO","FALSO")</f>
        <v>VERDADEIRO</v>
      </c>
      <c r="U30" s="48">
        <f>((0.0225*(C30/O30))*E30+0.08/1000*C30*SIN(ACOS(E30)))*H30</f>
        <v>2.7063200497328217</v>
      </c>
      <c r="V30" s="48">
        <f t="shared" si="23"/>
        <v>1.1766608911881833</v>
      </c>
      <c r="W30" s="129">
        <v>3</v>
      </c>
      <c r="X30" s="131" t="str">
        <f t="shared" si="24"/>
        <v>VERDADEIRO</v>
      </c>
      <c r="Y30" s="130" t="s">
        <v>229</v>
      </c>
      <c r="Z30" s="100" t="s">
        <v>239</v>
      </c>
    </row>
    <row r="32" spans="1:28" x14ac:dyDescent="0.25">
      <c r="Z32" s="175" t="s">
        <v>264</v>
      </c>
      <c r="AA32" s="176"/>
    </row>
    <row r="33" spans="26:27" x14ac:dyDescent="0.25">
      <c r="Z33" s="176"/>
      <c r="AA33" s="176"/>
    </row>
  </sheetData>
  <mergeCells count="4">
    <mergeCell ref="F5:F16"/>
    <mergeCell ref="F20:F25"/>
    <mergeCell ref="F27:F30"/>
    <mergeCell ref="Z32:AA33"/>
  </mergeCells>
  <conditionalFormatting sqref="R4:T17">
    <cfRule type="cellIs" dxfId="13" priority="14" operator="equal">
      <formula>"FALSO"</formula>
    </cfRule>
  </conditionalFormatting>
  <conditionalFormatting sqref="R20:T25">
    <cfRule type="cellIs" dxfId="12" priority="13" operator="equal">
      <formula>"FALSO"</formula>
    </cfRule>
  </conditionalFormatting>
  <conditionalFormatting sqref="S20:T20">
    <cfRule type="cellIs" dxfId="11" priority="12" operator="equal">
      <formula>"FALSO"</formula>
    </cfRule>
  </conditionalFormatting>
  <conditionalFormatting sqref="S21:T25">
    <cfRule type="cellIs" dxfId="10" priority="11" operator="equal">
      <formula>"FALSO"</formula>
    </cfRule>
  </conditionalFormatting>
  <conditionalFormatting sqref="X4">
    <cfRule type="cellIs" dxfId="9" priority="10" operator="equal">
      <formula>"FALSO"</formula>
    </cfRule>
  </conditionalFormatting>
  <conditionalFormatting sqref="X5:X17">
    <cfRule type="cellIs" dxfId="8" priority="9" operator="equal">
      <formula>"FALSO"</formula>
    </cfRule>
  </conditionalFormatting>
  <conditionalFormatting sqref="X20">
    <cfRule type="cellIs" dxfId="7" priority="8" operator="equal">
      <formula>"FALSO"</formula>
    </cfRule>
  </conditionalFormatting>
  <conditionalFormatting sqref="X21:X25">
    <cfRule type="cellIs" dxfId="6" priority="7" operator="equal">
      <formula>"FALSO"</formula>
    </cfRule>
  </conditionalFormatting>
  <conditionalFormatting sqref="R27:R28">
    <cfRule type="cellIs" dxfId="5" priority="6" operator="equal">
      <formula>"FALSO"</formula>
    </cfRule>
  </conditionalFormatting>
  <conditionalFormatting sqref="S27:S29">
    <cfRule type="cellIs" dxfId="4" priority="5" operator="equal">
      <formula>"FALSO"</formula>
    </cfRule>
  </conditionalFormatting>
  <conditionalFormatting sqref="S27:S29">
    <cfRule type="cellIs" dxfId="3" priority="4" operator="equal">
      <formula>"FALSO"</formula>
    </cfRule>
  </conditionalFormatting>
  <conditionalFormatting sqref="T27:T29">
    <cfRule type="cellIs" dxfId="2" priority="3" operator="equal">
      <formula>"FALSO"</formula>
    </cfRule>
  </conditionalFormatting>
  <conditionalFormatting sqref="T27:T29">
    <cfRule type="cellIs" dxfId="1" priority="2" operator="equal">
      <formula>"FALSO"</formula>
    </cfRule>
  </conditionalFormatting>
  <conditionalFormatting sqref="X27:X30">
    <cfRule type="cellIs" dxfId="0" priority="1" operator="equal">
      <formula>"FALSO"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4"/>
  <sheetViews>
    <sheetView topLeftCell="G67" workbookViewId="0">
      <selection activeCell="Y72" sqref="Y72"/>
    </sheetView>
  </sheetViews>
  <sheetFormatPr defaultRowHeight="15" x14ac:dyDescent="0.25"/>
  <cols>
    <col min="1" max="1" width="5.28515625" customWidth="1"/>
    <col min="2" max="2" width="26.42578125" bestFit="1" customWidth="1"/>
    <col min="3" max="3" width="17.7109375" bestFit="1" customWidth="1"/>
    <col min="4" max="5" width="8.5703125" style="46" customWidth="1"/>
    <col min="6" max="6" width="9.7109375" style="46" customWidth="1"/>
    <col min="7" max="7" width="8.5703125" customWidth="1"/>
    <col min="8" max="8" width="8.85546875" style="46" customWidth="1"/>
    <col min="9" max="10" width="8.140625" style="46" customWidth="1"/>
    <col min="11" max="11" width="8.28515625" style="46" bestFit="1" customWidth="1"/>
    <col min="12" max="13" width="12.42578125" style="46" bestFit="1" customWidth="1"/>
    <col min="14" max="14" width="8.140625" style="46" customWidth="1"/>
    <col min="15" max="15" width="8.7109375" style="46" customWidth="1"/>
    <col min="16" max="16" width="7.85546875" style="46" bestFit="1" customWidth="1"/>
    <col min="17" max="17" width="8.85546875" style="46" customWidth="1"/>
    <col min="18" max="19" width="7.85546875" style="46" customWidth="1"/>
    <col min="20" max="20" width="13.140625" style="46" customWidth="1"/>
    <col min="21" max="21" width="25.85546875" style="46" bestFit="1" customWidth="1"/>
    <col min="22" max="22" width="13.28515625" style="46" bestFit="1" customWidth="1"/>
    <col min="23" max="23" width="12.42578125" style="46" bestFit="1" customWidth="1"/>
    <col min="24" max="24" width="12.5703125" style="46" customWidth="1"/>
    <col min="25" max="25" width="7.85546875" style="46" customWidth="1"/>
    <col min="26" max="26" width="8.5703125" style="46" bestFit="1" customWidth="1"/>
    <col min="27" max="27" width="8.5703125" style="46" customWidth="1"/>
    <col min="28" max="30" width="8.140625" style="46" customWidth="1"/>
    <col min="31" max="31" width="8.7109375" style="46" customWidth="1"/>
    <col min="32" max="32" width="7.5703125" style="46" bestFit="1" customWidth="1"/>
    <col min="33" max="33" width="7" style="46" customWidth="1"/>
    <col min="34" max="34" width="8" style="46" customWidth="1"/>
    <col min="35" max="35" width="5" style="46" bestFit="1" customWidth="1"/>
    <col min="36" max="37" width="13.28515625" style="44" customWidth="1"/>
    <col min="38" max="38" width="16.140625" customWidth="1"/>
    <col min="39" max="39" width="13.28515625" bestFit="1" customWidth="1"/>
    <col min="42" max="42" width="14.140625" bestFit="1" customWidth="1"/>
    <col min="43" max="43" width="12" bestFit="1" customWidth="1"/>
    <col min="44" max="44" width="11" bestFit="1" customWidth="1"/>
  </cols>
  <sheetData>
    <row r="1" spans="1:37" s="8" customFormat="1" ht="21" x14ac:dyDescent="0.35">
      <c r="A1" s="67" t="s">
        <v>150</v>
      </c>
      <c r="D1" s="46"/>
      <c r="E1" s="46"/>
      <c r="F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4"/>
      <c r="AK1" s="44"/>
    </row>
    <row r="2" spans="1:37" s="8" customFormat="1" ht="21" x14ac:dyDescent="0.35">
      <c r="A2" s="111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4"/>
      <c r="AK2" s="44"/>
    </row>
    <row r="3" spans="1:37" s="8" customFormat="1" ht="21" x14ac:dyDescent="0.35">
      <c r="A3" s="111"/>
      <c r="B3" s="46"/>
      <c r="C3" s="81" t="s">
        <v>161</v>
      </c>
      <c r="D3" s="183" t="s">
        <v>29</v>
      </c>
      <c r="E3" s="184"/>
      <c r="F3" s="183" t="s">
        <v>32</v>
      </c>
      <c r="G3" s="185"/>
      <c r="H3" s="185"/>
      <c r="I3" s="185"/>
      <c r="J3" s="185"/>
      <c r="K3" s="185"/>
      <c r="L3" s="184"/>
      <c r="M3" s="81" t="s">
        <v>171</v>
      </c>
      <c r="N3" s="81" t="s">
        <v>169</v>
      </c>
      <c r="O3" s="183" t="s">
        <v>161</v>
      </c>
      <c r="P3" s="185"/>
      <c r="Q3" s="185"/>
      <c r="R3" s="184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4"/>
      <c r="AK3" s="44"/>
    </row>
    <row r="4" spans="1:37" s="8" customFormat="1" ht="36" customHeight="1" x14ac:dyDescent="0.35">
      <c r="A4" s="111"/>
      <c r="B4" s="46"/>
      <c r="C4" s="78" t="s">
        <v>164</v>
      </c>
      <c r="D4" s="78" t="s">
        <v>166</v>
      </c>
      <c r="E4" s="78" t="s">
        <v>31</v>
      </c>
      <c r="F4" s="79" t="s">
        <v>121</v>
      </c>
      <c r="G4" s="78" t="s">
        <v>122</v>
      </c>
      <c r="H4" s="79" t="s">
        <v>123</v>
      </c>
      <c r="I4" s="78" t="s">
        <v>124</v>
      </c>
      <c r="J4" s="78" t="s">
        <v>119</v>
      </c>
      <c r="K4" s="124" t="s">
        <v>120</v>
      </c>
      <c r="L4" s="80" t="s">
        <v>162</v>
      </c>
      <c r="M4" s="78" t="s">
        <v>168</v>
      </c>
      <c r="N4" s="78" t="s">
        <v>168</v>
      </c>
      <c r="O4" s="78" t="s">
        <v>34</v>
      </c>
      <c r="P4" s="78" t="s">
        <v>35</v>
      </c>
      <c r="Q4" s="78" t="s">
        <v>36</v>
      </c>
      <c r="R4" s="78" t="s">
        <v>37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4"/>
      <c r="AK4" s="44"/>
    </row>
    <row r="5" spans="1:37" s="8" customFormat="1" ht="21" x14ac:dyDescent="0.35">
      <c r="A5" s="111"/>
      <c r="B5" s="46"/>
      <c r="C5" s="86" t="s">
        <v>163</v>
      </c>
      <c r="D5" s="86" t="s">
        <v>102</v>
      </c>
      <c r="E5" s="86" t="s">
        <v>165</v>
      </c>
      <c r="F5" s="182" t="s">
        <v>167</v>
      </c>
      <c r="G5" s="182"/>
      <c r="H5" s="182"/>
      <c r="I5" s="182"/>
      <c r="J5" s="7" t="s">
        <v>170</v>
      </c>
      <c r="K5" s="7" t="s">
        <v>170</v>
      </c>
      <c r="L5" s="86" t="s">
        <v>125</v>
      </c>
      <c r="M5" s="86" t="s">
        <v>126</v>
      </c>
      <c r="N5" s="86" t="s">
        <v>125</v>
      </c>
      <c r="O5" s="86" t="s">
        <v>170</v>
      </c>
      <c r="P5" s="86" t="s">
        <v>170</v>
      </c>
      <c r="Q5" s="86" t="s">
        <v>170</v>
      </c>
      <c r="R5" s="86" t="s">
        <v>38</v>
      </c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4"/>
      <c r="AK5" s="44"/>
    </row>
    <row r="6" spans="1:37" s="8" customFormat="1" ht="21" x14ac:dyDescent="0.35">
      <c r="A6" s="111"/>
      <c r="B6" s="46"/>
      <c r="C6" s="86">
        <v>500</v>
      </c>
      <c r="D6" s="86">
        <v>250</v>
      </c>
      <c r="E6" s="86">
        <v>4</v>
      </c>
      <c r="F6" s="77">
        <v>2.2499999999999999E-2</v>
      </c>
      <c r="G6" s="77">
        <v>3.5999999999999997E-2</v>
      </c>
      <c r="H6" s="86">
        <v>1.7239999999999998E-2</v>
      </c>
      <c r="I6" s="77">
        <v>2.826E-2</v>
      </c>
      <c r="J6" s="86">
        <v>115</v>
      </c>
      <c r="K6" s="7">
        <v>143</v>
      </c>
      <c r="L6" s="86">
        <f>0.08</f>
        <v>0.08</v>
      </c>
      <c r="M6" s="86">
        <v>0.15</v>
      </c>
      <c r="N6" s="86">
        <v>0.18</v>
      </c>
      <c r="O6" s="86">
        <v>1.05</v>
      </c>
      <c r="P6" s="86">
        <v>1.05</v>
      </c>
      <c r="Q6" s="86">
        <v>0.95</v>
      </c>
      <c r="R6" s="86">
        <v>400</v>
      </c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4"/>
      <c r="AK6" s="44"/>
    </row>
    <row r="7" spans="1:37" s="8" customFormat="1" ht="21" x14ac:dyDescent="0.35">
      <c r="A7" s="111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4"/>
      <c r="AK7" s="44"/>
    </row>
    <row r="8" spans="1:37" s="8" customFormat="1" ht="21.75" thickBot="1" x14ac:dyDescent="0.4">
      <c r="A8" s="111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4"/>
      <c r="AK8" s="44"/>
    </row>
    <row r="9" spans="1:37" ht="15.75" thickBot="1" x14ac:dyDescent="0.3">
      <c r="A9" s="46"/>
      <c r="B9" s="46"/>
      <c r="C9" s="46"/>
      <c r="G9" s="46"/>
      <c r="H9" s="186" t="s">
        <v>160</v>
      </c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9" t="s">
        <v>45</v>
      </c>
      <c r="V9" s="190"/>
    </row>
    <row r="10" spans="1:37" ht="30" x14ac:dyDescent="0.25">
      <c r="A10" s="46"/>
      <c r="B10" s="125" t="s">
        <v>39</v>
      </c>
      <c r="C10" s="68"/>
      <c r="D10" s="65" t="s">
        <v>111</v>
      </c>
      <c r="E10" s="59" t="s">
        <v>112</v>
      </c>
      <c r="F10" s="59" t="s">
        <v>113</v>
      </c>
      <c r="G10" s="64" t="s">
        <v>144</v>
      </c>
      <c r="H10" s="65" t="s">
        <v>116</v>
      </c>
      <c r="I10" s="59" t="s">
        <v>117</v>
      </c>
      <c r="J10" s="59" t="s">
        <v>118</v>
      </c>
      <c r="K10" s="60" t="s">
        <v>127</v>
      </c>
      <c r="L10" s="65" t="s">
        <v>129</v>
      </c>
      <c r="M10" s="59" t="s">
        <v>130</v>
      </c>
      <c r="N10" s="59" t="s">
        <v>131</v>
      </c>
      <c r="O10" s="60" t="s">
        <v>132</v>
      </c>
      <c r="P10" s="76" t="s">
        <v>114</v>
      </c>
      <c r="Q10" s="66" t="s">
        <v>128</v>
      </c>
      <c r="R10" s="66" t="s">
        <v>115</v>
      </c>
      <c r="S10" s="66" t="s">
        <v>147</v>
      </c>
      <c r="T10" s="75" t="s">
        <v>148</v>
      </c>
      <c r="U10" s="65" t="s">
        <v>152</v>
      </c>
      <c r="V10" s="60" t="s">
        <v>149</v>
      </c>
    </row>
    <row r="11" spans="1:37" x14ac:dyDescent="0.25">
      <c r="A11" s="46"/>
      <c r="B11" s="177" t="s">
        <v>46</v>
      </c>
      <c r="C11" s="10" t="s">
        <v>47</v>
      </c>
      <c r="D11" s="101"/>
      <c r="E11" s="7"/>
      <c r="F11" s="7"/>
      <c r="G11" s="69"/>
      <c r="H11" s="57">
        <f>0.1*I11</f>
        <v>3.5103600000000006E-2</v>
      </c>
      <c r="I11" s="6">
        <f>0.995*J11</f>
        <v>0.35103600000000001</v>
      </c>
      <c r="J11" s="6">
        <f>((($O$6*$R$6)^2)/($C$6*10^6))*1000</f>
        <v>0.3528</v>
      </c>
      <c r="K11" s="102">
        <f>J11</f>
        <v>0.3528</v>
      </c>
      <c r="L11" s="57">
        <f>0.1*M11</f>
        <v>3.5103600000000006E-2</v>
      </c>
      <c r="M11" s="6">
        <f>0.995*N11</f>
        <v>0.35103600000000001</v>
      </c>
      <c r="N11" s="6">
        <f>((($O$6*$R$6)^2)/($C$6*10^6))*1000</f>
        <v>0.3528</v>
      </c>
      <c r="O11" s="102">
        <f>N11</f>
        <v>0.3528</v>
      </c>
      <c r="P11" s="103">
        <f t="shared" ref="P11:P38" si="0">($R$6*$P$6*$O$6)/(SQRT(3)*K11)</f>
        <v>721.6878364870322</v>
      </c>
      <c r="Q11" s="104">
        <f>SQRT(3)/2*P11</f>
        <v>625</v>
      </c>
      <c r="R11" s="104">
        <f t="shared" ref="R11:R38" si="1">($R$6*$P$6*$O$6)/(SQRT(3)*(O11))</f>
        <v>721.6878364870322</v>
      </c>
      <c r="S11" s="104"/>
      <c r="T11" s="106"/>
      <c r="U11" s="109"/>
      <c r="V11" s="61"/>
    </row>
    <row r="12" spans="1:37" x14ac:dyDescent="0.25">
      <c r="A12" s="46"/>
      <c r="B12" s="177"/>
      <c r="C12" s="10" t="s">
        <v>29</v>
      </c>
      <c r="D12" s="101"/>
      <c r="E12" s="7"/>
      <c r="F12" s="7"/>
      <c r="G12" s="69"/>
      <c r="H12" s="57">
        <f>0.31*J12</f>
        <v>8.7494399999999999</v>
      </c>
      <c r="I12" s="6">
        <f>0.95*J12</f>
        <v>26.812799999999999</v>
      </c>
      <c r="J12" s="6">
        <f>((($O$6*$R$6)^2)/($D$6*10^3))*($E$6/100)*1000</f>
        <v>28.224</v>
      </c>
      <c r="K12" s="102">
        <f>K11+J12</f>
        <v>28.576799999999999</v>
      </c>
      <c r="L12" s="57">
        <f>0.31*N12</f>
        <v>8.7494399999999999</v>
      </c>
      <c r="M12" s="6">
        <f>0.95*N12</f>
        <v>26.812799999999999</v>
      </c>
      <c r="N12" s="6">
        <f>((($O$6*$R$6)^2)/($D$6*10^3))*($E$6/100)*1000</f>
        <v>28.224</v>
      </c>
      <c r="O12" s="102">
        <f>O11+N12</f>
        <v>28.576799999999999</v>
      </c>
      <c r="P12" s="103">
        <f t="shared" si="0"/>
        <v>8.909726376383114</v>
      </c>
      <c r="Q12" s="104">
        <f t="shared" ref="Q12:Q38" si="2">SQRT(3)/2*P12</f>
        <v>7.716049382716049</v>
      </c>
      <c r="R12" s="104">
        <f t="shared" si="1"/>
        <v>8.909726376383114</v>
      </c>
      <c r="S12" s="104">
        <v>25</v>
      </c>
      <c r="T12" s="61" t="b">
        <f>IF(P12&lt;S12,TRUE,FALSE)</f>
        <v>1</v>
      </c>
      <c r="U12" s="109"/>
      <c r="V12" s="61"/>
    </row>
    <row r="13" spans="1:37" x14ac:dyDescent="0.25">
      <c r="A13" s="46"/>
      <c r="B13" s="177" t="s">
        <v>181</v>
      </c>
      <c r="C13" s="10" t="s">
        <v>49</v>
      </c>
      <c r="D13" s="101">
        <f>'Sobrecarga e Queda de Tensão'!O4</f>
        <v>185</v>
      </c>
      <c r="E13" s="7">
        <v>150</v>
      </c>
      <c r="F13" s="104">
        <f>'Sobrecarga e Queda de Tensão'!C4</f>
        <v>33</v>
      </c>
      <c r="G13" s="69">
        <f>'Sobrecarga e Queda de Tensão'!J4</f>
        <v>250</v>
      </c>
      <c r="H13" s="57">
        <f>$H$6*$F13/$D13*1000</f>
        <v>3.0752432432432433</v>
      </c>
      <c r="I13" s="7">
        <f>$L$6*$F13</f>
        <v>2.64</v>
      </c>
      <c r="J13" s="6">
        <f>SQRT(H13^2+I13^2)</f>
        <v>4.052989144460323</v>
      </c>
      <c r="K13" s="102">
        <f>K12+J13</f>
        <v>32.629789144460318</v>
      </c>
      <c r="L13" s="57">
        <f>$H$6*$F13*(1/$D13+1/$E13)*1000</f>
        <v>6.8680432432432443</v>
      </c>
      <c r="M13" s="7">
        <f>2*$L$6*$F13</f>
        <v>5.28</v>
      </c>
      <c r="N13" s="6">
        <f>SQRT(L13^2+M13^2)</f>
        <v>8.6630490008460175</v>
      </c>
      <c r="O13" s="102">
        <f>O12+N13</f>
        <v>37.239849000846014</v>
      </c>
      <c r="P13" s="103">
        <f t="shared" si="0"/>
        <v>7.8030375122988289</v>
      </c>
      <c r="Q13" s="104">
        <f t="shared" si="2"/>
        <v>6.7576287123337142</v>
      </c>
      <c r="R13" s="104">
        <f t="shared" si="1"/>
        <v>6.8370703841157008</v>
      </c>
      <c r="S13" s="104">
        <v>25</v>
      </c>
      <c r="T13" s="61" t="b">
        <f>IF(P13&lt;S13,TRUE,FALSE)</f>
        <v>1</v>
      </c>
      <c r="U13" s="137" t="s">
        <v>245</v>
      </c>
      <c r="V13" s="61" t="s">
        <v>173</v>
      </c>
    </row>
    <row r="14" spans="1:37" x14ac:dyDescent="0.25">
      <c r="A14" s="46"/>
      <c r="B14" s="177"/>
      <c r="C14" s="10" t="s">
        <v>33</v>
      </c>
      <c r="D14" s="101"/>
      <c r="E14" s="7"/>
      <c r="F14" s="104"/>
      <c r="G14" s="69"/>
      <c r="H14" s="57">
        <v>0</v>
      </c>
      <c r="I14" s="7">
        <f>M6</f>
        <v>0.15</v>
      </c>
      <c r="J14" s="6">
        <f t="shared" ref="J14:J38" si="3">SQRT(H14^2+I14^2)</f>
        <v>0.15</v>
      </c>
      <c r="K14" s="102">
        <f>K13+J14</f>
        <v>32.779789144460317</v>
      </c>
      <c r="L14" s="57">
        <v>0</v>
      </c>
      <c r="M14" s="7">
        <f>$M$6</f>
        <v>0.15</v>
      </c>
      <c r="N14" s="6">
        <f t="shared" ref="N14:N38" si="4">SQRT(L14^2+M14^2)</f>
        <v>0.15</v>
      </c>
      <c r="O14" s="102">
        <f>O13+N14</f>
        <v>37.389849000846013</v>
      </c>
      <c r="P14" s="103">
        <f t="shared" si="0"/>
        <v>7.7673308876562288</v>
      </c>
      <c r="Q14" s="104">
        <f t="shared" si="2"/>
        <v>6.7267058683098275</v>
      </c>
      <c r="R14" s="104">
        <f t="shared" si="1"/>
        <v>6.8096415341731902</v>
      </c>
      <c r="S14" s="105">
        <v>25</v>
      </c>
      <c r="T14" s="61" t="b">
        <f t="shared" ref="T14:T17" si="5">IF(P14&lt;S14,TRUE,FALSE)</f>
        <v>1</v>
      </c>
      <c r="U14" s="110"/>
      <c r="V14" s="62"/>
    </row>
    <row r="15" spans="1:37" x14ac:dyDescent="0.25">
      <c r="A15" s="46"/>
      <c r="B15" s="177"/>
      <c r="C15" s="10" t="s">
        <v>48</v>
      </c>
      <c r="D15" s="101">
        <f>30*10</f>
        <v>300</v>
      </c>
      <c r="E15" s="7">
        <f>D15</f>
        <v>300</v>
      </c>
      <c r="F15" s="104">
        <v>1.2</v>
      </c>
      <c r="G15" s="69"/>
      <c r="H15" s="57">
        <f>$F$6*$F$15/$D$15</f>
        <v>9.0000000000000006E-5</v>
      </c>
      <c r="I15" s="6">
        <f>$N$6*$F$15</f>
        <v>0.216</v>
      </c>
      <c r="J15" s="6">
        <f t="shared" si="3"/>
        <v>0.21600001874999916</v>
      </c>
      <c r="K15" s="102">
        <f>K14+J15</f>
        <v>32.995789163210318</v>
      </c>
      <c r="L15" s="57">
        <f>$F$6*$F$15/$D$15</f>
        <v>9.0000000000000006E-5</v>
      </c>
      <c r="M15" s="6">
        <f>$N$6*$F$15</f>
        <v>0.216</v>
      </c>
      <c r="N15" s="6">
        <f t="shared" si="4"/>
        <v>0.21600001874999916</v>
      </c>
      <c r="O15" s="102">
        <f>O14+N15</f>
        <v>37.605849019596015</v>
      </c>
      <c r="P15" s="103">
        <f t="shared" si="0"/>
        <v>7.7164836838184181</v>
      </c>
      <c r="Q15" s="104">
        <f t="shared" si="2"/>
        <v>6.6826708980748775</v>
      </c>
      <c r="R15" s="104">
        <f t="shared" si="1"/>
        <v>6.7705283978550677</v>
      </c>
      <c r="S15" s="105">
        <v>25</v>
      </c>
      <c r="T15" s="61" t="b">
        <f t="shared" si="5"/>
        <v>1</v>
      </c>
      <c r="V15" s="62"/>
    </row>
    <row r="16" spans="1:37" s="8" customFormat="1" x14ac:dyDescent="0.25">
      <c r="A16" s="46"/>
      <c r="B16" s="134" t="s">
        <v>254</v>
      </c>
      <c r="C16" s="10" t="s">
        <v>49</v>
      </c>
      <c r="D16" s="101">
        <v>2.5</v>
      </c>
      <c r="E16" s="7">
        <v>2.5</v>
      </c>
      <c r="F16" s="104">
        <v>36</v>
      </c>
      <c r="G16" s="69">
        <v>16</v>
      </c>
      <c r="H16" s="57">
        <f>$H$6*F16/D16*1000</f>
        <v>248.25599999999997</v>
      </c>
      <c r="I16" s="6">
        <f>$L$6*$F16</f>
        <v>2.88</v>
      </c>
      <c r="J16" s="6">
        <f>SQRT(H16^2+I16^2)</f>
        <v>248.27270477440726</v>
      </c>
      <c r="K16" s="102">
        <f>$K$15+J16</f>
        <v>281.26849393761756</v>
      </c>
      <c r="L16" s="57">
        <f>$H$6*$F16*(1/$D16+1/$E16)*1000</f>
        <v>496.512</v>
      </c>
      <c r="M16" s="6">
        <f>2*$L$6*$F16</f>
        <v>5.76</v>
      </c>
      <c r="N16" s="6">
        <f>SQRT(L16^2+M16^2)</f>
        <v>496.54540954881458</v>
      </c>
      <c r="O16" s="102">
        <f>$O$15+N16</f>
        <v>534.15125856841064</v>
      </c>
      <c r="P16" s="103">
        <f t="shared" si="0"/>
        <v>0.90522569786680462</v>
      </c>
      <c r="Q16" s="104">
        <f t="shared" si="2"/>
        <v>0.7839484505111497</v>
      </c>
      <c r="R16" s="104">
        <f t="shared" si="1"/>
        <v>0.47666548496958372</v>
      </c>
      <c r="S16" s="105">
        <v>10</v>
      </c>
      <c r="T16" s="61" t="b">
        <f t="shared" si="5"/>
        <v>1</v>
      </c>
      <c r="U16" s="46"/>
      <c r="V16" s="62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4"/>
      <c r="AK16" s="44"/>
    </row>
    <row r="17" spans="1:37" s="8" customFormat="1" x14ac:dyDescent="0.25">
      <c r="A17" s="46"/>
      <c r="B17" s="134" t="s">
        <v>253</v>
      </c>
      <c r="C17" s="10" t="s">
        <v>49</v>
      </c>
      <c r="D17" s="101">
        <v>2.5</v>
      </c>
      <c r="E17" s="7">
        <v>2.5</v>
      </c>
      <c r="F17" s="104">
        <v>37</v>
      </c>
      <c r="G17" s="69">
        <v>16</v>
      </c>
      <c r="H17" s="57">
        <f>$H$6*F17/D17*1000</f>
        <v>255.15199999999993</v>
      </c>
      <c r="I17" s="6">
        <f>$L$6*$F17</f>
        <v>2.96</v>
      </c>
      <c r="J17" s="6">
        <f>SQRT(H17^2+I17^2)</f>
        <v>255.16916879591852</v>
      </c>
      <c r="K17" s="102">
        <f>$K$15+J17</f>
        <v>288.16495795912886</v>
      </c>
      <c r="L17" s="57">
        <f>$H$6*$F17*(1/$D17+1/$E17)*1000</f>
        <v>510.30399999999997</v>
      </c>
      <c r="M17" s="6">
        <f>2*$L$6*$F17</f>
        <v>5.92</v>
      </c>
      <c r="N17" s="6">
        <f>SQRT(L17^2+M17^2)</f>
        <v>510.33833759183716</v>
      </c>
      <c r="O17" s="102">
        <f>$O$15+N17</f>
        <v>547.94418661143322</v>
      </c>
      <c r="P17" s="103">
        <f t="shared" si="0"/>
        <v>0.88356152155300272</v>
      </c>
      <c r="Q17" s="104">
        <f t="shared" si="2"/>
        <v>0.7651867234713321</v>
      </c>
      <c r="R17" s="104">
        <f t="shared" si="1"/>
        <v>0.4646667944178392</v>
      </c>
      <c r="S17" s="105">
        <v>10</v>
      </c>
      <c r="T17" s="61" t="b">
        <f t="shared" si="5"/>
        <v>1</v>
      </c>
      <c r="U17" s="46"/>
      <c r="V17" s="62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4"/>
      <c r="AK17" s="44"/>
    </row>
    <row r="18" spans="1:37" x14ac:dyDescent="0.25">
      <c r="A18" s="46"/>
      <c r="B18" s="63" t="s">
        <v>185</v>
      </c>
      <c r="C18" s="10" t="s">
        <v>49</v>
      </c>
      <c r="D18" s="101">
        <f>'Sobrecarga e Queda de Tensão'!O5</f>
        <v>120</v>
      </c>
      <c r="E18" s="7">
        <v>70</v>
      </c>
      <c r="F18" s="104">
        <f>'Sobrecarga e Queda de Tensão'!C5</f>
        <v>36.4</v>
      </c>
      <c r="G18" s="69">
        <f>'Sobrecarga e Queda de Tensão'!J5</f>
        <v>125</v>
      </c>
      <c r="H18" s="57">
        <f t="shared" ref="H18:H38" si="6">$H$6*F18/D18*1000</f>
        <v>5.2294666666666654</v>
      </c>
      <c r="I18" s="6">
        <f t="shared" ref="I18:I38" si="7">$L$6*$F18</f>
        <v>2.9119999999999999</v>
      </c>
      <c r="J18" s="6">
        <f t="shared" si="3"/>
        <v>5.9855714529005297</v>
      </c>
      <c r="K18" s="102">
        <f>$K$15+J18</f>
        <v>38.981360616110848</v>
      </c>
      <c r="L18" s="57">
        <f t="shared" ref="L18:L38" si="8">$H$6*$F18*(1/$D18+1/$E18)*1000</f>
        <v>14.194266666666664</v>
      </c>
      <c r="M18" s="6">
        <f t="shared" ref="M18:M38" si="9">2*$L$6*$F18</f>
        <v>5.8239999999999998</v>
      </c>
      <c r="N18" s="6">
        <f t="shared" si="4"/>
        <v>15.342626313784885</v>
      </c>
      <c r="O18" s="102">
        <f>$O$15+N18</f>
        <v>52.948475333380898</v>
      </c>
      <c r="P18" s="103">
        <f t="shared" si="0"/>
        <v>6.5316208743979809</v>
      </c>
      <c r="Q18" s="104">
        <f t="shared" si="2"/>
        <v>5.6565496051173794</v>
      </c>
      <c r="R18" s="104">
        <f t="shared" si="1"/>
        <v>4.8086647841983732</v>
      </c>
      <c r="S18" s="105">
        <v>25</v>
      </c>
      <c r="T18" s="61" t="b">
        <f t="shared" ref="T18:T38" si="10">IF(P18&lt;S18,TRUE,FALSE)</f>
        <v>1</v>
      </c>
      <c r="U18" s="137" t="s">
        <v>246</v>
      </c>
      <c r="V18" s="61" t="s">
        <v>174</v>
      </c>
    </row>
    <row r="19" spans="1:37" s="8" customFormat="1" x14ac:dyDescent="0.25">
      <c r="A19" s="46"/>
      <c r="B19" s="63" t="s">
        <v>230</v>
      </c>
      <c r="C19" s="10" t="s">
        <v>49</v>
      </c>
      <c r="D19" s="45">
        <v>4</v>
      </c>
      <c r="E19" s="45">
        <v>4</v>
      </c>
      <c r="F19" s="58">
        <f>1.5+0.45+5.8+1.5</f>
        <v>9.25</v>
      </c>
      <c r="G19" s="45">
        <v>10</v>
      </c>
      <c r="H19" s="57">
        <f>$H$6*F19/D19*1000</f>
        <v>39.867499999999993</v>
      </c>
      <c r="I19" s="6">
        <f t="shared" si="7"/>
        <v>0.74</v>
      </c>
      <c r="J19" s="6">
        <f t="shared" si="3"/>
        <v>39.874367157987592</v>
      </c>
      <c r="K19" s="102">
        <f>$K$18+J19</f>
        <v>78.85572777409844</v>
      </c>
      <c r="L19" s="57">
        <f t="shared" si="8"/>
        <v>79.734999999999985</v>
      </c>
      <c r="M19" s="6">
        <f t="shared" si="9"/>
        <v>1.48</v>
      </c>
      <c r="N19" s="6">
        <f t="shared" si="4"/>
        <v>79.748734315975184</v>
      </c>
      <c r="O19" s="102">
        <f>$O$18+N19</f>
        <v>132.69720964935607</v>
      </c>
      <c r="P19" s="103">
        <f t="shared" si="0"/>
        <v>3.2288265659283741</v>
      </c>
      <c r="Q19" s="104">
        <f t="shared" si="2"/>
        <v>2.7962458305080427</v>
      </c>
      <c r="R19" s="104">
        <f t="shared" si="1"/>
        <v>1.9187401859121196</v>
      </c>
      <c r="S19" s="105">
        <v>10</v>
      </c>
      <c r="T19" s="61" t="b">
        <f t="shared" si="10"/>
        <v>1</v>
      </c>
      <c r="U19" s="87" t="s">
        <v>237</v>
      </c>
      <c r="V19" s="61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4"/>
      <c r="AK19" s="44"/>
    </row>
    <row r="20" spans="1:37" s="8" customFormat="1" x14ac:dyDescent="0.25">
      <c r="A20" s="46"/>
      <c r="B20" s="63" t="s">
        <v>231</v>
      </c>
      <c r="C20" s="10" t="s">
        <v>49</v>
      </c>
      <c r="D20" s="45">
        <v>4</v>
      </c>
      <c r="E20" s="45">
        <v>4</v>
      </c>
      <c r="F20" s="58">
        <f>1.5+0.4+7.1+4+1.5</f>
        <v>14.5</v>
      </c>
      <c r="G20" s="45">
        <v>10</v>
      </c>
      <c r="H20" s="57">
        <f t="shared" si="6"/>
        <v>62.494999999999997</v>
      </c>
      <c r="I20" s="6">
        <f t="shared" si="7"/>
        <v>1.1599999999999999</v>
      </c>
      <c r="J20" s="6">
        <f t="shared" si="3"/>
        <v>62.505764734142723</v>
      </c>
      <c r="K20" s="102">
        <f t="shared" ref="K20:K25" si="11">$K$15+J20</f>
        <v>95.501553897353034</v>
      </c>
      <c r="L20" s="57">
        <f t="shared" si="8"/>
        <v>124.99</v>
      </c>
      <c r="M20" s="6">
        <f t="shared" si="9"/>
        <v>2.3199999999999998</v>
      </c>
      <c r="N20" s="6">
        <f t="shared" si="4"/>
        <v>125.01152946828545</v>
      </c>
      <c r="O20" s="102">
        <f t="shared" ref="O20:O25" si="12">$O$15+N20</f>
        <v>162.61737848788147</v>
      </c>
      <c r="P20" s="103">
        <f t="shared" si="0"/>
        <v>2.666045297925586</v>
      </c>
      <c r="Q20" s="104">
        <f t="shared" si="2"/>
        <v>2.3088629556436095</v>
      </c>
      <c r="R20" s="104">
        <f t="shared" si="1"/>
        <v>1.5657088503096186</v>
      </c>
      <c r="S20" s="105">
        <v>10</v>
      </c>
      <c r="T20" s="61" t="b">
        <f t="shared" si="10"/>
        <v>1</v>
      </c>
      <c r="U20" s="87" t="s">
        <v>237</v>
      </c>
      <c r="V20" s="61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4"/>
      <c r="AK20" s="44"/>
    </row>
    <row r="21" spans="1:37" s="8" customFormat="1" x14ac:dyDescent="0.25">
      <c r="A21" s="46"/>
      <c r="B21" s="63" t="s">
        <v>232</v>
      </c>
      <c r="C21" s="10" t="s">
        <v>49</v>
      </c>
      <c r="D21" s="45">
        <v>4</v>
      </c>
      <c r="E21" s="45">
        <v>4</v>
      </c>
      <c r="F21" s="58">
        <f>1.5+0.45+7.1+9.7+1.5</f>
        <v>20.25</v>
      </c>
      <c r="G21" s="45">
        <v>10</v>
      </c>
      <c r="H21" s="57">
        <f t="shared" si="6"/>
        <v>87.277499999999989</v>
      </c>
      <c r="I21" s="6">
        <f t="shared" si="7"/>
        <v>1.62</v>
      </c>
      <c r="J21" s="6">
        <f t="shared" si="3"/>
        <v>87.292533508026892</v>
      </c>
      <c r="K21" s="102">
        <f t="shared" si="11"/>
        <v>120.28832267123721</v>
      </c>
      <c r="L21" s="57">
        <f t="shared" si="8"/>
        <v>174.55499999999998</v>
      </c>
      <c r="M21" s="6">
        <f t="shared" si="9"/>
        <v>3.24</v>
      </c>
      <c r="N21" s="6">
        <f t="shared" si="4"/>
        <v>174.58506701605378</v>
      </c>
      <c r="O21" s="102">
        <f t="shared" si="12"/>
        <v>212.19091603564979</v>
      </c>
      <c r="P21" s="103">
        <f t="shared" si="0"/>
        <v>2.1166765240256069</v>
      </c>
      <c r="Q21" s="104">
        <f t="shared" si="2"/>
        <v>1.8330956414003181</v>
      </c>
      <c r="R21" s="104">
        <f t="shared" si="1"/>
        <v>1.1999169119466369</v>
      </c>
      <c r="S21" s="105">
        <v>10</v>
      </c>
      <c r="T21" s="61" t="b">
        <f t="shared" si="10"/>
        <v>1</v>
      </c>
      <c r="U21" s="87" t="s">
        <v>237</v>
      </c>
      <c r="V21" s="61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4"/>
      <c r="AK21" s="44"/>
    </row>
    <row r="22" spans="1:37" s="8" customFormat="1" x14ac:dyDescent="0.25">
      <c r="A22" s="46"/>
      <c r="B22" s="63" t="s">
        <v>233</v>
      </c>
      <c r="C22" s="10" t="s">
        <v>49</v>
      </c>
      <c r="D22" s="45">
        <v>4</v>
      </c>
      <c r="E22" s="45">
        <v>4</v>
      </c>
      <c r="F22" s="58">
        <f>1.5+0.45+7.1+12.7+1.5</f>
        <v>23.25</v>
      </c>
      <c r="G22" s="45">
        <v>10</v>
      </c>
      <c r="H22" s="57">
        <f t="shared" si="6"/>
        <v>100.2075</v>
      </c>
      <c r="I22" s="6">
        <f t="shared" si="7"/>
        <v>1.86</v>
      </c>
      <c r="J22" s="6">
        <f t="shared" si="3"/>
        <v>100.22476069440125</v>
      </c>
      <c r="K22" s="102">
        <f t="shared" si="11"/>
        <v>133.22054985761156</v>
      </c>
      <c r="L22" s="57">
        <f t="shared" si="8"/>
        <v>200.41499999999999</v>
      </c>
      <c r="M22" s="6">
        <f t="shared" si="9"/>
        <v>3.72</v>
      </c>
      <c r="N22" s="6">
        <f t="shared" si="4"/>
        <v>200.44952138880251</v>
      </c>
      <c r="O22" s="102">
        <f t="shared" si="12"/>
        <v>238.05537040839852</v>
      </c>
      <c r="P22" s="103">
        <f t="shared" si="0"/>
        <v>1.9112026559322728</v>
      </c>
      <c r="Q22" s="104">
        <f t="shared" si="2"/>
        <v>1.6551500518176381</v>
      </c>
      <c r="R22" s="104">
        <f t="shared" si="1"/>
        <v>1.0695472581686498</v>
      </c>
      <c r="S22" s="105">
        <v>10</v>
      </c>
      <c r="T22" s="61" t="b">
        <f t="shared" si="10"/>
        <v>1</v>
      </c>
      <c r="U22" s="87" t="s">
        <v>237</v>
      </c>
      <c r="V22" s="61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4"/>
      <c r="AK22" s="44"/>
    </row>
    <row r="23" spans="1:37" s="8" customFormat="1" x14ac:dyDescent="0.25">
      <c r="A23" s="46"/>
      <c r="B23" s="63" t="s">
        <v>234</v>
      </c>
      <c r="C23" s="10" t="s">
        <v>49</v>
      </c>
      <c r="D23" s="45">
        <v>4</v>
      </c>
      <c r="E23" s="45">
        <v>4</v>
      </c>
      <c r="F23" s="58">
        <f>1.5+0.45+7.1+13.7+6.7+1.5</f>
        <v>30.95</v>
      </c>
      <c r="G23" s="45">
        <v>10</v>
      </c>
      <c r="H23" s="57">
        <f t="shared" si="6"/>
        <v>133.39449999999997</v>
      </c>
      <c r="I23" s="6">
        <f t="shared" si="7"/>
        <v>2.476</v>
      </c>
      <c r="J23" s="6">
        <f t="shared" si="3"/>
        <v>133.41747713942874</v>
      </c>
      <c r="K23" s="102">
        <f t="shared" si="11"/>
        <v>166.41326630263904</v>
      </c>
      <c r="L23" s="57">
        <f t="shared" si="8"/>
        <v>266.78899999999993</v>
      </c>
      <c r="M23" s="6">
        <f t="shared" si="9"/>
        <v>4.952</v>
      </c>
      <c r="N23" s="6">
        <f t="shared" si="4"/>
        <v>266.83495427885748</v>
      </c>
      <c r="O23" s="102">
        <f t="shared" si="12"/>
        <v>304.44080329845349</v>
      </c>
      <c r="P23" s="103">
        <f t="shared" si="0"/>
        <v>1.5299950200459906</v>
      </c>
      <c r="Q23" s="104">
        <f t="shared" si="2"/>
        <v>1.3250145550235093</v>
      </c>
      <c r="R23" s="104">
        <f t="shared" si="1"/>
        <v>0.83632504563792265</v>
      </c>
      <c r="S23" s="105">
        <v>10</v>
      </c>
      <c r="T23" s="61" t="b">
        <f t="shared" si="10"/>
        <v>1</v>
      </c>
      <c r="U23" s="87" t="s">
        <v>237</v>
      </c>
      <c r="V23" s="61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4"/>
      <c r="AK23" s="44"/>
    </row>
    <row r="24" spans="1:37" s="8" customFormat="1" x14ac:dyDescent="0.25">
      <c r="A24" s="46"/>
      <c r="B24" s="63" t="s">
        <v>251</v>
      </c>
      <c r="C24" s="10" t="s">
        <v>252</v>
      </c>
      <c r="D24" s="45">
        <v>2.5</v>
      </c>
      <c r="E24" s="45">
        <v>2.5</v>
      </c>
      <c r="F24" s="58">
        <v>37</v>
      </c>
      <c r="G24" s="45">
        <v>10</v>
      </c>
      <c r="H24" s="57">
        <f t="shared" si="6"/>
        <v>255.15199999999993</v>
      </c>
      <c r="I24" s="6">
        <f t="shared" si="7"/>
        <v>2.96</v>
      </c>
      <c r="J24" s="6">
        <f t="shared" si="3"/>
        <v>255.16916879591852</v>
      </c>
      <c r="K24" s="102">
        <f>$K$15+J24</f>
        <v>288.16495795912886</v>
      </c>
      <c r="L24" s="57">
        <f t="shared" si="8"/>
        <v>510.30399999999997</v>
      </c>
      <c r="M24" s="6">
        <f t="shared" si="9"/>
        <v>5.92</v>
      </c>
      <c r="N24" s="6">
        <f t="shared" si="4"/>
        <v>510.33833759183716</v>
      </c>
      <c r="O24" s="102">
        <f t="shared" si="12"/>
        <v>547.94418661143322</v>
      </c>
      <c r="P24" s="103">
        <f t="shared" si="0"/>
        <v>0.88356152155300272</v>
      </c>
      <c r="Q24" s="104">
        <f t="shared" si="2"/>
        <v>0.7651867234713321</v>
      </c>
      <c r="R24" s="104">
        <f t="shared" si="1"/>
        <v>0.4646667944178392</v>
      </c>
      <c r="S24" s="105">
        <v>10</v>
      </c>
      <c r="T24" s="61" t="b">
        <f t="shared" si="10"/>
        <v>1</v>
      </c>
      <c r="U24" s="118" t="s">
        <v>239</v>
      </c>
      <c r="V24" s="61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4"/>
      <c r="AK24" s="44"/>
    </row>
    <row r="25" spans="1:37" s="8" customFormat="1" x14ac:dyDescent="0.25">
      <c r="A25" s="46"/>
      <c r="B25" s="63" t="s">
        <v>235</v>
      </c>
      <c r="C25" s="10" t="s">
        <v>49</v>
      </c>
      <c r="D25" s="45">
        <v>25</v>
      </c>
      <c r="E25" s="45">
        <v>25</v>
      </c>
      <c r="F25" s="58">
        <f>1.5+0.45+7.1+7+1.5</f>
        <v>17.549999999999997</v>
      </c>
      <c r="G25" s="45">
        <v>32</v>
      </c>
      <c r="H25" s="57">
        <f t="shared" si="6"/>
        <v>12.102479999999996</v>
      </c>
      <c r="I25" s="6">
        <f t="shared" si="7"/>
        <v>1.4039999999999997</v>
      </c>
      <c r="J25" s="6">
        <f t="shared" si="3"/>
        <v>12.183646340500855</v>
      </c>
      <c r="K25" s="102">
        <f t="shared" si="11"/>
        <v>45.179435503711176</v>
      </c>
      <c r="L25" s="57">
        <f t="shared" si="8"/>
        <v>24.204959999999996</v>
      </c>
      <c r="M25" s="6">
        <f t="shared" si="9"/>
        <v>2.8079999999999994</v>
      </c>
      <c r="N25" s="6">
        <f t="shared" si="4"/>
        <v>24.367292681001718</v>
      </c>
      <c r="O25" s="102">
        <f t="shared" si="12"/>
        <v>61.973141700597736</v>
      </c>
      <c r="P25" s="103">
        <f t="shared" si="0"/>
        <v>5.6355610882236542</v>
      </c>
      <c r="Q25" s="104">
        <f t="shared" si="2"/>
        <v>4.8805390669807602</v>
      </c>
      <c r="R25" s="104">
        <f t="shared" si="1"/>
        <v>4.1084163514364684</v>
      </c>
      <c r="S25" s="105">
        <v>10</v>
      </c>
      <c r="T25" s="61" t="b">
        <f t="shared" si="10"/>
        <v>1</v>
      </c>
      <c r="U25" s="118" t="s">
        <v>236</v>
      </c>
      <c r="V25" s="61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4"/>
      <c r="AK25" s="44"/>
    </row>
    <row r="26" spans="1:37" x14ac:dyDescent="0.25">
      <c r="A26" s="46"/>
      <c r="B26" s="63" t="s">
        <v>186</v>
      </c>
      <c r="C26" s="69" t="s">
        <v>49</v>
      </c>
      <c r="D26" s="101">
        <f>'Sobrecarga e Queda de Tensão'!O6</f>
        <v>10</v>
      </c>
      <c r="E26" s="7">
        <f>D26</f>
        <v>10</v>
      </c>
      <c r="F26" s="104">
        <f>'Sobrecarga e Queda de Tensão'!C6</f>
        <v>30.2</v>
      </c>
      <c r="G26" s="69">
        <f>'Sobrecarga e Queda de Tensão'!J6</f>
        <v>25</v>
      </c>
      <c r="H26" s="57">
        <f t="shared" si="6"/>
        <v>52.064799999999984</v>
      </c>
      <c r="I26" s="6">
        <f t="shared" si="7"/>
        <v>2.4159999999999999</v>
      </c>
      <c r="J26" s="6">
        <f t="shared" si="3"/>
        <v>52.120825540660789</v>
      </c>
      <c r="K26" s="102">
        <f t="shared" ref="K26:K38" si="13">$K$15+J26</f>
        <v>85.116614703871107</v>
      </c>
      <c r="L26" s="57">
        <f t="shared" si="8"/>
        <v>104.12959999999998</v>
      </c>
      <c r="M26" s="6">
        <f t="shared" si="9"/>
        <v>4.8319999999999999</v>
      </c>
      <c r="N26" s="6">
        <f t="shared" si="4"/>
        <v>104.24165108132159</v>
      </c>
      <c r="O26" s="102">
        <f>$O$15+N26</f>
        <v>141.84750010091761</v>
      </c>
      <c r="P26" s="103">
        <f t="shared" si="0"/>
        <v>2.9913251319785541</v>
      </c>
      <c r="Q26" s="104">
        <f t="shared" si="2"/>
        <v>2.5905635552722663</v>
      </c>
      <c r="R26" s="104">
        <f t="shared" si="1"/>
        <v>1.7949662033626341</v>
      </c>
      <c r="S26" s="105">
        <v>25</v>
      </c>
      <c r="T26" s="61" t="b">
        <f t="shared" si="10"/>
        <v>1</v>
      </c>
      <c r="U26" s="137" t="s">
        <v>247</v>
      </c>
      <c r="V26" s="61" t="s">
        <v>177</v>
      </c>
    </row>
    <row r="27" spans="1:37" x14ac:dyDescent="0.25">
      <c r="A27" s="46"/>
      <c r="B27" s="63" t="s">
        <v>187</v>
      </c>
      <c r="C27" s="69" t="s">
        <v>49</v>
      </c>
      <c r="D27" s="101">
        <f>'Sobrecarga e Queda de Tensão'!O7</f>
        <v>10</v>
      </c>
      <c r="E27" s="7">
        <f t="shared" ref="E27:E29" si="14">D27</f>
        <v>10</v>
      </c>
      <c r="F27" s="104">
        <f>'Sobrecarga e Queda de Tensão'!C7</f>
        <v>25.6</v>
      </c>
      <c r="G27" s="69">
        <f>'Sobrecarga e Queda de Tensão'!J7</f>
        <v>25</v>
      </c>
      <c r="H27" s="57">
        <f t="shared" si="6"/>
        <v>44.134399999999999</v>
      </c>
      <c r="I27" s="6">
        <f t="shared" si="7"/>
        <v>2.048</v>
      </c>
      <c r="J27" s="6">
        <f t="shared" si="3"/>
        <v>44.18189184903698</v>
      </c>
      <c r="K27" s="102">
        <f t="shared" si="13"/>
        <v>77.177681012247291</v>
      </c>
      <c r="L27" s="57">
        <f t="shared" si="8"/>
        <v>88.268799999999999</v>
      </c>
      <c r="M27" s="6">
        <f t="shared" si="9"/>
        <v>4.0960000000000001</v>
      </c>
      <c r="N27" s="6">
        <f t="shared" si="4"/>
        <v>88.363783698073959</v>
      </c>
      <c r="O27" s="102">
        <f t="shared" ref="O27:O38" si="15">$O$15+N27</f>
        <v>125.96963271766998</v>
      </c>
      <c r="P27" s="103">
        <f t="shared" si="0"/>
        <v>3.2990297890943472</v>
      </c>
      <c r="Q27" s="104">
        <f t="shared" si="2"/>
        <v>2.8570436051973234</v>
      </c>
      <c r="R27" s="104">
        <f t="shared" si="1"/>
        <v>2.0212130750851207</v>
      </c>
      <c r="S27" s="105">
        <v>25</v>
      </c>
      <c r="T27" s="61" t="b">
        <f t="shared" si="10"/>
        <v>1</v>
      </c>
      <c r="U27" s="137" t="s">
        <v>247</v>
      </c>
      <c r="V27" s="61" t="s">
        <v>177</v>
      </c>
    </row>
    <row r="28" spans="1:37" x14ac:dyDescent="0.25">
      <c r="A28" s="46"/>
      <c r="B28" s="63" t="s">
        <v>188</v>
      </c>
      <c r="C28" s="69" t="s">
        <v>49</v>
      </c>
      <c r="D28" s="101">
        <f>'Sobrecarga e Queda de Tensão'!O8</f>
        <v>10</v>
      </c>
      <c r="E28" s="7">
        <f t="shared" si="14"/>
        <v>10</v>
      </c>
      <c r="F28" s="104">
        <f>'Sobrecarga e Queda de Tensão'!C8</f>
        <v>17.100000000000001</v>
      </c>
      <c r="G28" s="69">
        <f>'Sobrecarga e Queda de Tensão'!J8</f>
        <v>25</v>
      </c>
      <c r="H28" s="57">
        <f t="shared" si="6"/>
        <v>29.480399999999999</v>
      </c>
      <c r="I28" s="6">
        <f t="shared" si="7"/>
        <v>1.3680000000000001</v>
      </c>
      <c r="J28" s="6">
        <f t="shared" si="3"/>
        <v>29.512123071036417</v>
      </c>
      <c r="K28" s="102">
        <f t="shared" si="13"/>
        <v>62.507912234246731</v>
      </c>
      <c r="L28" s="57">
        <f t="shared" si="8"/>
        <v>58.960800000000006</v>
      </c>
      <c r="M28" s="6">
        <f t="shared" si="9"/>
        <v>2.7360000000000002</v>
      </c>
      <c r="N28" s="6">
        <f t="shared" si="4"/>
        <v>59.024246142072847</v>
      </c>
      <c r="O28" s="102">
        <f t="shared" si="15"/>
        <v>96.630095161668862</v>
      </c>
      <c r="P28" s="103">
        <f t="shared" si="0"/>
        <v>4.0732678410130747</v>
      </c>
      <c r="Q28" s="104">
        <f t="shared" si="2"/>
        <v>3.5275534267355164</v>
      </c>
      <c r="R28" s="104">
        <f t="shared" si="1"/>
        <v>2.6349085995066268</v>
      </c>
      <c r="S28" s="105">
        <v>25</v>
      </c>
      <c r="T28" s="61" t="b">
        <f t="shared" si="10"/>
        <v>1</v>
      </c>
      <c r="U28" s="137" t="s">
        <v>247</v>
      </c>
      <c r="V28" s="61" t="s">
        <v>177</v>
      </c>
    </row>
    <row r="29" spans="1:37" x14ac:dyDescent="0.25">
      <c r="A29" s="46"/>
      <c r="B29" s="63" t="s">
        <v>189</v>
      </c>
      <c r="C29" s="69" t="s">
        <v>49</v>
      </c>
      <c r="D29" s="101">
        <f>'Sobrecarga e Queda de Tensão'!O9</f>
        <v>10</v>
      </c>
      <c r="E29" s="7">
        <f t="shared" si="14"/>
        <v>10</v>
      </c>
      <c r="F29" s="104">
        <f>'Sobrecarga e Queda de Tensão'!C9</f>
        <v>12.3</v>
      </c>
      <c r="G29" s="69">
        <f>'Sobrecarga e Queda de Tensão'!J9</f>
        <v>25</v>
      </c>
      <c r="H29" s="57">
        <f t="shared" si="6"/>
        <v>21.205200000000001</v>
      </c>
      <c r="I29" s="6">
        <f t="shared" si="7"/>
        <v>0.9840000000000001</v>
      </c>
      <c r="J29" s="6">
        <f t="shared" si="3"/>
        <v>21.228018349341987</v>
      </c>
      <c r="K29" s="102">
        <f t="shared" si="13"/>
        <v>54.223807512552305</v>
      </c>
      <c r="L29" s="57">
        <f t="shared" si="8"/>
        <v>42.410400000000003</v>
      </c>
      <c r="M29" s="6">
        <f t="shared" si="9"/>
        <v>1.9680000000000002</v>
      </c>
      <c r="N29" s="6">
        <f t="shared" si="4"/>
        <v>42.456036698683974</v>
      </c>
      <c r="O29" s="102">
        <f t="shared" si="15"/>
        <v>80.061885718279996</v>
      </c>
      <c r="P29" s="103">
        <f t="shared" si="0"/>
        <v>4.695566032571298</v>
      </c>
      <c r="Q29" s="104">
        <f t="shared" si="2"/>
        <v>4.0664794693540527</v>
      </c>
      <c r="R29" s="104">
        <f t="shared" si="1"/>
        <v>3.1801832598415958</v>
      </c>
      <c r="S29" s="105">
        <v>25</v>
      </c>
      <c r="T29" s="61" t="b">
        <f t="shared" si="10"/>
        <v>1</v>
      </c>
      <c r="U29" s="137" t="s">
        <v>247</v>
      </c>
      <c r="V29" s="61" t="s">
        <v>177</v>
      </c>
    </row>
    <row r="30" spans="1:37" x14ac:dyDescent="0.25">
      <c r="A30" s="46"/>
      <c r="B30" s="63" t="s">
        <v>190</v>
      </c>
      <c r="C30" s="69" t="s">
        <v>49</v>
      </c>
      <c r="D30" s="101">
        <f>'Sobrecarga e Queda de Tensão'!O10</f>
        <v>70</v>
      </c>
      <c r="E30" s="7">
        <f>D30/2</f>
        <v>35</v>
      </c>
      <c r="F30" s="104">
        <f>'Sobrecarga e Queda de Tensão'!C10</f>
        <v>10.7</v>
      </c>
      <c r="G30" s="69">
        <f>'Sobrecarga e Queda de Tensão'!J10</f>
        <v>80</v>
      </c>
      <c r="H30" s="57">
        <f t="shared" si="6"/>
        <v>2.6352571428571427</v>
      </c>
      <c r="I30" s="6">
        <f t="shared" si="7"/>
        <v>0.85599999999999998</v>
      </c>
      <c r="J30" s="6">
        <f t="shared" si="3"/>
        <v>2.7707970349665798</v>
      </c>
      <c r="K30" s="102">
        <f t="shared" si="13"/>
        <v>35.766586198176896</v>
      </c>
      <c r="L30" s="57">
        <f t="shared" si="8"/>
        <v>7.9057714285714269</v>
      </c>
      <c r="M30" s="6">
        <f t="shared" si="9"/>
        <v>1.712</v>
      </c>
      <c r="N30" s="6">
        <f t="shared" si="4"/>
        <v>8.0890151366415619</v>
      </c>
      <c r="O30" s="102">
        <f t="shared" si="15"/>
        <v>45.694864156237578</v>
      </c>
      <c r="P30" s="103">
        <f t="shared" si="0"/>
        <v>7.1186964084820348</v>
      </c>
      <c r="Q30" s="104">
        <f t="shared" si="2"/>
        <v>6.1649719315744873</v>
      </c>
      <c r="R30" s="104">
        <f t="shared" si="1"/>
        <v>5.571993120322456</v>
      </c>
      <c r="S30" s="105">
        <v>25</v>
      </c>
      <c r="T30" s="61" t="b">
        <f t="shared" si="10"/>
        <v>1</v>
      </c>
      <c r="U30" s="137" t="s">
        <v>248</v>
      </c>
      <c r="V30" s="61" t="s">
        <v>175</v>
      </c>
    </row>
    <row r="31" spans="1:37" x14ac:dyDescent="0.25">
      <c r="A31" s="46"/>
      <c r="B31" s="63" t="s">
        <v>191</v>
      </c>
      <c r="C31" s="69" t="s">
        <v>49</v>
      </c>
      <c r="D31" s="101">
        <f>'Sobrecarga e Queda de Tensão'!O11</f>
        <v>70</v>
      </c>
      <c r="E31" s="7">
        <f>D31/2</f>
        <v>35</v>
      </c>
      <c r="F31" s="104">
        <f>'Sobrecarga e Queda de Tensão'!C11</f>
        <v>4.16</v>
      </c>
      <c r="G31" s="69">
        <f>'Sobrecarga e Queda de Tensão'!J11</f>
        <v>80</v>
      </c>
      <c r="H31" s="57">
        <f t="shared" si="6"/>
        <v>1.0245485714285714</v>
      </c>
      <c r="I31" s="6">
        <f t="shared" si="7"/>
        <v>0.33280000000000004</v>
      </c>
      <c r="J31" s="6">
        <f t="shared" si="3"/>
        <v>1.0772444547159787</v>
      </c>
      <c r="K31" s="102">
        <f t="shared" si="13"/>
        <v>34.073033617926299</v>
      </c>
      <c r="L31" s="57">
        <f t="shared" si="8"/>
        <v>3.0736457142857141</v>
      </c>
      <c r="M31" s="6">
        <f t="shared" si="9"/>
        <v>0.66560000000000008</v>
      </c>
      <c r="N31" s="6">
        <f t="shared" si="4"/>
        <v>3.1448881278905514</v>
      </c>
      <c r="O31" s="102">
        <f t="shared" si="15"/>
        <v>40.750737147486568</v>
      </c>
      <c r="P31" s="103">
        <f t="shared" si="0"/>
        <v>7.4725212779020165</v>
      </c>
      <c r="Q31" s="104">
        <f t="shared" si="2"/>
        <v>6.4713932569829034</v>
      </c>
      <c r="R31" s="104">
        <f t="shared" si="1"/>
        <v>6.2480211779022738</v>
      </c>
      <c r="S31" s="105">
        <v>25</v>
      </c>
      <c r="T31" s="61" t="b">
        <f t="shared" si="10"/>
        <v>1</v>
      </c>
      <c r="U31" s="137" t="s">
        <v>248</v>
      </c>
      <c r="V31" s="61" t="s">
        <v>175</v>
      </c>
    </row>
    <row r="32" spans="1:37" x14ac:dyDescent="0.25">
      <c r="A32" s="46"/>
      <c r="B32" s="63" t="s">
        <v>192</v>
      </c>
      <c r="C32" s="69" t="s">
        <v>49</v>
      </c>
      <c r="D32" s="101">
        <f>'Sobrecarga e Queda de Tensão'!O12</f>
        <v>10</v>
      </c>
      <c r="E32" s="7">
        <v>10</v>
      </c>
      <c r="F32" s="104">
        <f>'Sobrecarga e Queda de Tensão'!C12</f>
        <v>8.4</v>
      </c>
      <c r="G32" s="69">
        <f>'Sobrecarga e Queda de Tensão'!J12</f>
        <v>25</v>
      </c>
      <c r="H32" s="57">
        <f t="shared" si="6"/>
        <v>14.4816</v>
      </c>
      <c r="I32" s="6">
        <f t="shared" si="7"/>
        <v>0.67200000000000004</v>
      </c>
      <c r="J32" s="6">
        <f t="shared" si="3"/>
        <v>14.497183262965258</v>
      </c>
      <c r="K32" s="102">
        <f t="shared" si="13"/>
        <v>47.492972426175577</v>
      </c>
      <c r="L32" s="57">
        <f t="shared" si="8"/>
        <v>28.963200000000001</v>
      </c>
      <c r="M32" s="6">
        <f t="shared" si="9"/>
        <v>1.3440000000000001</v>
      </c>
      <c r="N32" s="6">
        <f t="shared" si="4"/>
        <v>28.994366525930516</v>
      </c>
      <c r="O32" s="102">
        <f t="shared" si="15"/>
        <v>66.600215545526538</v>
      </c>
      <c r="P32" s="103">
        <f t="shared" si="0"/>
        <v>5.361034605875644</v>
      </c>
      <c r="Q32" s="104">
        <f t="shared" si="2"/>
        <v>4.6427921592558032</v>
      </c>
      <c r="R32" s="104">
        <f t="shared" si="1"/>
        <v>3.8229826529401816</v>
      </c>
      <c r="S32" s="105">
        <v>25</v>
      </c>
      <c r="T32" s="61" t="b">
        <f t="shared" si="10"/>
        <v>1</v>
      </c>
      <c r="U32" s="137" t="s">
        <v>247</v>
      </c>
      <c r="V32" s="61" t="s">
        <v>177</v>
      </c>
    </row>
    <row r="33" spans="1:38" x14ac:dyDescent="0.25">
      <c r="A33" s="46"/>
      <c r="B33" s="63" t="s">
        <v>193</v>
      </c>
      <c r="C33" s="69" t="s">
        <v>49</v>
      </c>
      <c r="D33" s="101">
        <f>'Sobrecarga e Queda de Tensão'!O13</f>
        <v>16</v>
      </c>
      <c r="E33" s="108">
        <v>16</v>
      </c>
      <c r="F33" s="104">
        <f>'Sobrecarga e Queda de Tensão'!C13</f>
        <v>13.6</v>
      </c>
      <c r="G33" s="69">
        <f>'Sobrecarga e Queda de Tensão'!J13</f>
        <v>32</v>
      </c>
      <c r="H33" s="57">
        <f t="shared" si="6"/>
        <v>14.653999999999998</v>
      </c>
      <c r="I33" s="6">
        <f t="shared" si="7"/>
        <v>1.0880000000000001</v>
      </c>
      <c r="J33" s="6">
        <f t="shared" si="3"/>
        <v>14.69433428230078</v>
      </c>
      <c r="K33" s="102">
        <f t="shared" si="13"/>
        <v>47.690123445511098</v>
      </c>
      <c r="L33" s="57">
        <f t="shared" si="8"/>
        <v>29.307999999999996</v>
      </c>
      <c r="M33" s="6">
        <f t="shared" si="9"/>
        <v>2.1760000000000002</v>
      </c>
      <c r="N33" s="6">
        <f t="shared" si="4"/>
        <v>29.388668564601559</v>
      </c>
      <c r="O33" s="102">
        <f t="shared" si="15"/>
        <v>66.994517584197581</v>
      </c>
      <c r="P33" s="103">
        <f t="shared" si="0"/>
        <v>5.338872083305346</v>
      </c>
      <c r="Q33" s="104">
        <f t="shared" si="2"/>
        <v>4.6235988516979791</v>
      </c>
      <c r="R33" s="104">
        <f t="shared" si="1"/>
        <v>3.8004821572546374</v>
      </c>
      <c r="S33" s="105">
        <v>25</v>
      </c>
      <c r="T33" s="61" t="b">
        <f t="shared" si="10"/>
        <v>1</v>
      </c>
      <c r="U33" s="137" t="s">
        <v>247</v>
      </c>
      <c r="V33" s="61" t="s">
        <v>176</v>
      </c>
    </row>
    <row r="34" spans="1:38" x14ac:dyDescent="0.25">
      <c r="A34" s="46"/>
      <c r="B34" s="63" t="s">
        <v>194</v>
      </c>
      <c r="C34" s="69" t="s">
        <v>49</v>
      </c>
      <c r="D34" s="101">
        <f>'Sobrecarga e Queda de Tensão'!O14</f>
        <v>16</v>
      </c>
      <c r="E34" s="108">
        <v>16</v>
      </c>
      <c r="F34" s="104">
        <f>'Sobrecarga e Queda de Tensão'!C14</f>
        <v>18.8</v>
      </c>
      <c r="G34" s="69">
        <f>'Sobrecarga e Queda de Tensão'!J14</f>
        <v>32</v>
      </c>
      <c r="H34" s="57">
        <f t="shared" si="6"/>
        <v>20.256999999999998</v>
      </c>
      <c r="I34" s="6">
        <f t="shared" si="7"/>
        <v>1.504</v>
      </c>
      <c r="J34" s="6">
        <f t="shared" si="3"/>
        <v>20.312756213768726</v>
      </c>
      <c r="K34" s="102">
        <f t="shared" si="13"/>
        <v>53.30854537697904</v>
      </c>
      <c r="L34" s="57">
        <f t="shared" si="8"/>
        <v>40.513999999999996</v>
      </c>
      <c r="M34" s="6">
        <f t="shared" si="9"/>
        <v>3.008</v>
      </c>
      <c r="N34" s="6">
        <f t="shared" si="4"/>
        <v>40.625512427537451</v>
      </c>
      <c r="O34" s="102">
        <f t="shared" si="15"/>
        <v>78.231361447133466</v>
      </c>
      <c r="P34" s="103">
        <f t="shared" si="0"/>
        <v>4.7761848857833833</v>
      </c>
      <c r="Q34" s="104">
        <f t="shared" si="2"/>
        <v>4.1362974442596876</v>
      </c>
      <c r="R34" s="104">
        <f t="shared" si="1"/>
        <v>3.2545959063320682</v>
      </c>
      <c r="S34" s="105">
        <v>25</v>
      </c>
      <c r="T34" s="61" t="b">
        <f t="shared" si="10"/>
        <v>1</v>
      </c>
      <c r="U34" s="137" t="s">
        <v>247</v>
      </c>
      <c r="V34" s="61" t="s">
        <v>176</v>
      </c>
    </row>
    <row r="35" spans="1:38" x14ac:dyDescent="0.25">
      <c r="A35" s="46"/>
      <c r="B35" s="63" t="s">
        <v>195</v>
      </c>
      <c r="C35" s="69" t="s">
        <v>49</v>
      </c>
      <c r="D35" s="101">
        <f>'Sobrecarga e Queda de Tensão'!O15</f>
        <v>16</v>
      </c>
      <c r="E35" s="7">
        <v>16</v>
      </c>
      <c r="F35" s="104">
        <f>'Sobrecarga e Queda de Tensão'!C15</f>
        <v>32</v>
      </c>
      <c r="G35" s="69">
        <f>'Sobrecarga e Queda de Tensão'!J15</f>
        <v>32</v>
      </c>
      <c r="H35" s="57">
        <f t="shared" si="6"/>
        <v>34.479999999999997</v>
      </c>
      <c r="I35" s="6">
        <f t="shared" si="7"/>
        <v>2.56</v>
      </c>
      <c r="J35" s="6">
        <f t="shared" si="3"/>
        <v>34.574904193648891</v>
      </c>
      <c r="K35" s="102">
        <f t="shared" si="13"/>
        <v>67.570693356859209</v>
      </c>
      <c r="L35" s="57">
        <f t="shared" si="8"/>
        <v>68.959999999999994</v>
      </c>
      <c r="M35" s="6">
        <f t="shared" si="9"/>
        <v>5.12</v>
      </c>
      <c r="N35" s="6">
        <f t="shared" si="4"/>
        <v>69.149808387297782</v>
      </c>
      <c r="O35" s="102">
        <f t="shared" si="15"/>
        <v>106.75565740689379</v>
      </c>
      <c r="P35" s="103">
        <f t="shared" si="0"/>
        <v>3.7680754194418662</v>
      </c>
      <c r="Q35" s="104">
        <f t="shared" si="2"/>
        <v>3.2632490366123599</v>
      </c>
      <c r="R35" s="104">
        <f t="shared" si="1"/>
        <v>2.3849927478989357</v>
      </c>
      <c r="S35" s="105">
        <v>25</v>
      </c>
      <c r="T35" s="61" t="b">
        <f t="shared" si="10"/>
        <v>1</v>
      </c>
      <c r="U35" s="137" t="s">
        <v>247</v>
      </c>
      <c r="V35" s="61" t="s">
        <v>176</v>
      </c>
    </row>
    <row r="36" spans="1:38" s="8" customFormat="1" x14ac:dyDescent="0.25">
      <c r="A36" s="46"/>
      <c r="B36" s="138" t="s">
        <v>249</v>
      </c>
      <c r="C36" s="139" t="s">
        <v>49</v>
      </c>
      <c r="D36" s="140">
        <v>6</v>
      </c>
      <c r="E36" s="140">
        <v>6</v>
      </c>
      <c r="F36" s="141">
        <v>7</v>
      </c>
      <c r="G36" s="139">
        <v>25</v>
      </c>
      <c r="H36" s="57">
        <f t="shared" si="6"/>
        <v>20.11333333333333</v>
      </c>
      <c r="I36" s="6">
        <f t="shared" si="7"/>
        <v>0.56000000000000005</v>
      </c>
      <c r="J36" s="6">
        <f t="shared" si="3"/>
        <v>20.121127646774116</v>
      </c>
      <c r="K36" s="102">
        <f>$K$35+J36</f>
        <v>87.691821003633322</v>
      </c>
      <c r="L36" s="57">
        <f t="shared" si="8"/>
        <v>40.226666666666659</v>
      </c>
      <c r="M36" s="6">
        <f t="shared" si="9"/>
        <v>1.1200000000000001</v>
      </c>
      <c r="N36" s="6">
        <f t="shared" si="4"/>
        <v>40.242255293548233</v>
      </c>
      <c r="O36" s="102">
        <f>$O$35+N36</f>
        <v>146.99791270044201</v>
      </c>
      <c r="P36" s="103">
        <f t="shared" si="0"/>
        <v>2.9034802310933387</v>
      </c>
      <c r="Q36" s="104">
        <f t="shared" si="2"/>
        <v>2.5144876395127436</v>
      </c>
      <c r="R36" s="104">
        <f t="shared" si="1"/>
        <v>1.7320754018560929</v>
      </c>
      <c r="S36" s="142">
        <v>10</v>
      </c>
      <c r="T36" s="143" t="b">
        <f t="shared" si="10"/>
        <v>1</v>
      </c>
      <c r="U36" s="45" t="s">
        <v>236</v>
      </c>
      <c r="V36" s="143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4"/>
      <c r="AK36" s="44"/>
    </row>
    <row r="37" spans="1:38" x14ac:dyDescent="0.25">
      <c r="A37" s="46"/>
      <c r="B37" s="138" t="s">
        <v>196</v>
      </c>
      <c r="C37" s="139" t="s">
        <v>49</v>
      </c>
      <c r="D37" s="140">
        <f>'Sobrecarga e Queda de Tensão'!O16</f>
        <v>10</v>
      </c>
      <c r="E37" s="146">
        <v>6</v>
      </c>
      <c r="F37" s="141">
        <f>'Sobrecarga e Queda de Tensão'!C16</f>
        <v>35.799999999999997</v>
      </c>
      <c r="G37" s="139">
        <f>'Sobrecarga e Queda de Tensão'!J16</f>
        <v>25</v>
      </c>
      <c r="H37" s="147">
        <f t="shared" si="6"/>
        <v>61.719199999999987</v>
      </c>
      <c r="I37" s="148">
        <f t="shared" si="7"/>
        <v>2.8639999999999999</v>
      </c>
      <c r="J37" s="148">
        <f t="shared" si="3"/>
        <v>61.785614382637633</v>
      </c>
      <c r="K37" s="149">
        <f t="shared" si="13"/>
        <v>94.781403545847951</v>
      </c>
      <c r="L37" s="147">
        <f t="shared" si="8"/>
        <v>164.58453333333327</v>
      </c>
      <c r="M37" s="148">
        <f t="shared" si="9"/>
        <v>5.7279999999999998</v>
      </c>
      <c r="N37" s="148">
        <f t="shared" si="4"/>
        <v>164.68417834312771</v>
      </c>
      <c r="O37" s="149">
        <f t="shared" si="15"/>
        <v>202.29002736272372</v>
      </c>
      <c r="P37" s="150">
        <f t="shared" si="0"/>
        <v>2.6863019451855186</v>
      </c>
      <c r="Q37" s="141">
        <f t="shared" si="2"/>
        <v>2.3264057267662115</v>
      </c>
      <c r="R37" s="141">
        <f t="shared" si="1"/>
        <v>1.2586456783461912</v>
      </c>
      <c r="S37" s="142">
        <v>25</v>
      </c>
      <c r="T37" s="143" t="b">
        <f t="shared" si="10"/>
        <v>1</v>
      </c>
      <c r="U37" s="151" t="s">
        <v>247</v>
      </c>
      <c r="V37" s="143" t="s">
        <v>177</v>
      </c>
    </row>
    <row r="38" spans="1:38" s="8" customFormat="1" x14ac:dyDescent="0.25">
      <c r="A38" s="46"/>
      <c r="B38" s="136" t="s">
        <v>260</v>
      </c>
      <c r="C38" s="7" t="s">
        <v>49</v>
      </c>
      <c r="D38" s="7">
        <v>70</v>
      </c>
      <c r="E38" s="7">
        <v>35</v>
      </c>
      <c r="F38" s="104">
        <v>1</v>
      </c>
      <c r="G38" s="7">
        <v>80</v>
      </c>
      <c r="H38" s="6">
        <f t="shared" si="6"/>
        <v>0.24628571428571425</v>
      </c>
      <c r="I38" s="6">
        <f t="shared" si="7"/>
        <v>0.08</v>
      </c>
      <c r="J38" s="6">
        <f t="shared" si="3"/>
        <v>0.25895299392211024</v>
      </c>
      <c r="K38" s="6">
        <f t="shared" si="13"/>
        <v>33.254742157132426</v>
      </c>
      <c r="L38" s="6">
        <f t="shared" si="8"/>
        <v>0.73885714285714277</v>
      </c>
      <c r="M38" s="6">
        <f t="shared" si="9"/>
        <v>0.16</v>
      </c>
      <c r="N38" s="6">
        <f t="shared" si="4"/>
        <v>0.75598272305061331</v>
      </c>
      <c r="O38" s="6">
        <f t="shared" si="15"/>
        <v>38.361831742646629</v>
      </c>
      <c r="P38" s="104">
        <f t="shared" si="0"/>
        <v>7.6563958159578238</v>
      </c>
      <c r="Q38" s="104">
        <f t="shared" si="2"/>
        <v>6.6306332780483608</v>
      </c>
      <c r="R38" s="104">
        <f t="shared" si="1"/>
        <v>6.6371040470826861</v>
      </c>
      <c r="S38" s="105">
        <v>25</v>
      </c>
      <c r="T38" s="136" t="b">
        <f t="shared" si="10"/>
        <v>1</v>
      </c>
      <c r="U38" s="45" t="s">
        <v>261</v>
      </c>
      <c r="V38" s="136" t="s">
        <v>175</v>
      </c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4"/>
      <c r="AK38" s="44"/>
    </row>
    <row r="39" spans="1:38" s="8" customFormat="1" x14ac:dyDescent="0.25">
      <c r="A39" s="46"/>
      <c r="B39" s="53"/>
      <c r="C39" s="54"/>
      <c r="D39" s="53"/>
      <c r="E39" s="54"/>
      <c r="F39" s="53"/>
      <c r="G39" s="53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6"/>
      <c r="AH39" s="56"/>
      <c r="AI39" s="53"/>
      <c r="AJ39" s="53"/>
      <c r="AK39" s="53"/>
      <c r="AL39" s="54"/>
    </row>
    <row r="40" spans="1:38" s="8" customFormat="1" x14ac:dyDescent="0.25">
      <c r="A40" s="46"/>
      <c r="B40" s="53"/>
      <c r="C40" s="54"/>
      <c r="D40" s="53"/>
      <c r="E40" s="54"/>
      <c r="F40" s="53"/>
      <c r="G40" s="53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6"/>
      <c r="AH40" s="56"/>
      <c r="AI40" s="53"/>
      <c r="AJ40" s="53"/>
      <c r="AK40" s="53"/>
      <c r="AL40" s="54"/>
    </row>
    <row r="41" spans="1:38" ht="15.75" thickBot="1" x14ac:dyDescent="0.3">
      <c r="A41" s="46"/>
      <c r="B41" s="46"/>
      <c r="C41" s="46"/>
      <c r="G41" s="46"/>
    </row>
    <row r="42" spans="1:38" ht="15.75" thickBot="1" x14ac:dyDescent="0.3">
      <c r="A42" s="46"/>
      <c r="B42" s="46"/>
      <c r="C42" s="46"/>
      <c r="D42" s="178" t="s">
        <v>159</v>
      </c>
      <c r="E42" s="179"/>
      <c r="F42" s="179"/>
      <c r="G42" s="179"/>
      <c r="H42" s="179"/>
      <c r="I42" s="179"/>
      <c r="J42" s="179"/>
      <c r="K42" s="179"/>
      <c r="L42" s="179"/>
      <c r="M42" s="180"/>
      <c r="N42" s="188" t="s">
        <v>158</v>
      </c>
      <c r="O42" s="179"/>
      <c r="P42" s="179"/>
      <c r="Q42" s="179"/>
      <c r="R42" s="179"/>
      <c r="S42" s="179"/>
      <c r="T42" s="179"/>
      <c r="U42" s="179"/>
      <c r="V42" s="179"/>
      <c r="W42" s="180"/>
    </row>
    <row r="43" spans="1:38" ht="30" x14ac:dyDescent="0.25">
      <c r="A43" s="46"/>
      <c r="B43" s="125" t="s">
        <v>39</v>
      </c>
      <c r="C43" s="68"/>
      <c r="D43" s="71" t="s">
        <v>137</v>
      </c>
      <c r="E43" s="47" t="s">
        <v>138</v>
      </c>
      <c r="F43" s="47" t="s">
        <v>139</v>
      </c>
      <c r="G43" s="47" t="s">
        <v>140</v>
      </c>
      <c r="H43" s="47" t="s">
        <v>141</v>
      </c>
      <c r="I43" s="47" t="s">
        <v>142</v>
      </c>
      <c r="J43" s="47" t="s">
        <v>153</v>
      </c>
      <c r="K43" s="47" t="s">
        <v>154</v>
      </c>
      <c r="L43" s="70" t="s">
        <v>156</v>
      </c>
      <c r="M43" s="72" t="s">
        <v>157</v>
      </c>
      <c r="N43" s="73" t="s">
        <v>133</v>
      </c>
      <c r="O43" s="47" t="s">
        <v>134</v>
      </c>
      <c r="P43" s="47" t="s">
        <v>135</v>
      </c>
      <c r="Q43" s="47" t="s">
        <v>132</v>
      </c>
      <c r="R43" s="47" t="s">
        <v>136</v>
      </c>
      <c r="S43" s="47" t="s">
        <v>143</v>
      </c>
      <c r="T43" s="47" t="s">
        <v>155</v>
      </c>
      <c r="U43" s="47" t="s">
        <v>201</v>
      </c>
      <c r="V43" s="70" t="s">
        <v>145</v>
      </c>
      <c r="W43" s="72" t="s">
        <v>146</v>
      </c>
    </row>
    <row r="44" spans="1:38" x14ac:dyDescent="0.25">
      <c r="A44" s="46"/>
      <c r="B44" s="177" t="s">
        <v>46</v>
      </c>
      <c r="C44" s="10" t="s">
        <v>47</v>
      </c>
      <c r="D44" s="57">
        <f>0.1*E44</f>
        <v>7.0207200000000011E-2</v>
      </c>
      <c r="E44" s="6">
        <f>0.995*F44</f>
        <v>0.70207200000000003</v>
      </c>
      <c r="F44" s="6">
        <f>((($O$6*$R$6)^2)/($C$6*10^6))*1000*2</f>
        <v>0.7056</v>
      </c>
      <c r="G44" s="6">
        <f>F44</f>
        <v>0.7056</v>
      </c>
      <c r="H44" s="104">
        <f t="shared" ref="H44:H66" si="16">($R$6*$Q$6*$O$6)/G44</f>
        <v>565.47619047619048</v>
      </c>
      <c r="I44" s="104"/>
      <c r="J44" s="104"/>
      <c r="K44" s="104"/>
      <c r="L44" s="104"/>
      <c r="M44" s="106"/>
      <c r="N44" s="74">
        <f>0.1*O44</f>
        <v>3.5103600000000006E-2</v>
      </c>
      <c r="O44" s="6">
        <f>0.995*P44</f>
        <v>0.35103600000000001</v>
      </c>
      <c r="P44" s="6">
        <f>((($O$6*$R$6)^2)/($C$6*10^6))*1000</f>
        <v>0.3528</v>
      </c>
      <c r="Q44" s="6">
        <f>P44</f>
        <v>0.3528</v>
      </c>
      <c r="R44" s="104">
        <f t="shared" ref="R44:R70" si="17">($R$6*$Q$6*$O$6)/(SQRT(3)*(Q44))</f>
        <v>652.95566158350528</v>
      </c>
      <c r="S44" s="104"/>
      <c r="T44" s="104"/>
      <c r="U44" s="86"/>
      <c r="V44" s="86"/>
      <c r="W44" s="61"/>
    </row>
    <row r="45" spans="1:38" x14ac:dyDescent="0.25">
      <c r="A45" s="46"/>
      <c r="B45" s="177"/>
      <c r="C45" s="10" t="s">
        <v>29</v>
      </c>
      <c r="D45" s="57">
        <f>0.31*F45</f>
        <v>17.49888</v>
      </c>
      <c r="E45" s="6">
        <f>0.95*F45</f>
        <v>53.625599999999999</v>
      </c>
      <c r="F45" s="6">
        <f>((($O$6*$R$6)^2)/($D$6*10^3))*($E$6/100)*1000*2</f>
        <v>56.448</v>
      </c>
      <c r="G45" s="6">
        <f>G44+F45</f>
        <v>57.153599999999997</v>
      </c>
      <c r="H45" s="104">
        <f t="shared" si="16"/>
        <v>6.9811875367430929</v>
      </c>
      <c r="I45" s="104"/>
      <c r="J45" s="104"/>
      <c r="K45" s="104"/>
      <c r="L45" s="104"/>
      <c r="M45" s="106"/>
      <c r="N45" s="74">
        <f>0.31*P45</f>
        <v>8.7494399999999999</v>
      </c>
      <c r="O45" s="6">
        <f>0.95*P45</f>
        <v>26.812799999999999</v>
      </c>
      <c r="P45" s="6">
        <f>((($O$6*$R$6)^2)/($D$6*10^3))*($E$6/100)*1000</f>
        <v>28.224</v>
      </c>
      <c r="Q45" s="6">
        <f>Q44+P45</f>
        <v>28.576799999999999</v>
      </c>
      <c r="R45" s="104">
        <f t="shared" si="17"/>
        <v>8.0611810072037695</v>
      </c>
      <c r="S45" s="104"/>
      <c r="T45" s="104"/>
      <c r="U45" s="86"/>
      <c r="V45" s="86"/>
      <c r="W45" s="61"/>
    </row>
    <row r="46" spans="1:38" x14ac:dyDescent="0.25">
      <c r="A46" s="46"/>
      <c r="B46" s="177" t="s">
        <v>197</v>
      </c>
      <c r="C46" s="10" t="s">
        <v>49</v>
      </c>
      <c r="D46" s="57">
        <f>$F$6*$F13*(2/$D13)*1000</f>
        <v>8.0270270270270281</v>
      </c>
      <c r="E46" s="7">
        <f>2*$L$6*$F13</f>
        <v>5.28</v>
      </c>
      <c r="F46" s="6">
        <f>SQRT(D46^2+E46^2)</f>
        <v>9.6078906578198708</v>
      </c>
      <c r="G46" s="6">
        <f>G45+F46</f>
        <v>66.761490657819863</v>
      </c>
      <c r="H46" s="104">
        <f t="shared" si="16"/>
        <v>5.9764992672952637</v>
      </c>
      <c r="I46" s="104">
        <f>($K$6*($D13/(H46*1000)))^2</f>
        <v>19.593940753970752</v>
      </c>
      <c r="J46" s="104">
        <f>H46/G13*1000</f>
        <v>23.905997069181055</v>
      </c>
      <c r="K46" s="6">
        <v>0.08</v>
      </c>
      <c r="L46" s="7" t="b">
        <f>IF(K46&lt;I46,TRUE,FALSE)</f>
        <v>1</v>
      </c>
      <c r="M46" s="107" t="b">
        <f>IF(K46&lt;=5,TRUE,FALSE)</f>
        <v>1</v>
      </c>
      <c r="N46" s="74">
        <f>$F$6*$F13*(1/$D13+1/$E13)*1000</f>
        <v>8.9635135135135133</v>
      </c>
      <c r="O46" s="7">
        <f>2*$L$6*$F13</f>
        <v>5.28</v>
      </c>
      <c r="P46" s="6">
        <f>SQRT(N46^2+O46^2)</f>
        <v>10.403027179957734</v>
      </c>
      <c r="Q46" s="6">
        <f>Q45+P46</f>
        <v>38.979827179957731</v>
      </c>
      <c r="R46" s="104">
        <f t="shared" si="17"/>
        <v>5.9097942210761358</v>
      </c>
      <c r="S46" s="104">
        <f>($J$6*(MIN($D13:$E13)/(R46*1000)))^2</f>
        <v>8.5198800565191029</v>
      </c>
      <c r="T46" s="104">
        <f>R46/G13*1000</f>
        <v>23.639176884304543</v>
      </c>
      <c r="U46" s="108">
        <v>0.08</v>
      </c>
      <c r="V46" s="86" t="b">
        <f>IF(U46&lt;S46,TRUE,FALSE)</f>
        <v>1</v>
      </c>
      <c r="W46" s="61" t="b">
        <f>IF(U46&lt;=5,TRUE,FALSE)</f>
        <v>1</v>
      </c>
    </row>
    <row r="47" spans="1:38" x14ac:dyDescent="0.25">
      <c r="A47" s="46"/>
      <c r="B47" s="177"/>
      <c r="C47" s="10" t="s">
        <v>33</v>
      </c>
      <c r="D47" s="57">
        <v>0</v>
      </c>
      <c r="E47" s="7">
        <f>0.15*2</f>
        <v>0.3</v>
      </c>
      <c r="F47" s="6">
        <f t="shared" ref="F47:F70" si="18">SQRT(D47^2+E47^2)</f>
        <v>0.3</v>
      </c>
      <c r="G47" s="6">
        <f>G46+F47</f>
        <v>67.06149065781986</v>
      </c>
      <c r="H47" s="104">
        <f t="shared" si="16"/>
        <v>5.9497633602553046</v>
      </c>
      <c r="I47" s="104"/>
      <c r="J47" s="104"/>
      <c r="K47" s="104"/>
      <c r="L47" s="7"/>
      <c r="M47" s="107"/>
      <c r="N47" s="74">
        <v>0</v>
      </c>
      <c r="O47" s="7">
        <f>0.15</f>
        <v>0.15</v>
      </c>
      <c r="P47" s="6">
        <f t="shared" ref="P47:P70" si="19">SQRT(N47^2+O47^2)</f>
        <v>0.15</v>
      </c>
      <c r="Q47" s="6">
        <f>Q46+P47</f>
        <v>39.129827179957729</v>
      </c>
      <c r="R47" s="104">
        <f t="shared" si="17"/>
        <v>5.8871396581238242</v>
      </c>
      <c r="S47" s="104"/>
      <c r="T47" s="104"/>
      <c r="U47" s="86"/>
      <c r="V47" s="133"/>
      <c r="W47" s="61"/>
    </row>
    <row r="48" spans="1:38" x14ac:dyDescent="0.25">
      <c r="A48" s="46"/>
      <c r="B48" s="177"/>
      <c r="C48" s="10" t="s">
        <v>48</v>
      </c>
      <c r="D48" s="82">
        <f>$F$6*$F$15/$D$15*2</f>
        <v>1.8000000000000001E-4</v>
      </c>
      <c r="E48" s="83">
        <f>$N$6*$F$15*2</f>
        <v>0.432</v>
      </c>
      <c r="F48" s="6">
        <f t="shared" si="18"/>
        <v>0.43200003749999832</v>
      </c>
      <c r="G48" s="6">
        <f>G47+F48</f>
        <v>67.493490695319863</v>
      </c>
      <c r="H48" s="104">
        <f t="shared" si="16"/>
        <v>5.9116811990236489</v>
      </c>
      <c r="I48" s="104"/>
      <c r="J48" s="104"/>
      <c r="K48" s="104"/>
      <c r="L48" s="7"/>
      <c r="M48" s="107"/>
      <c r="N48" s="74">
        <f>$F$6*$F$15/$D$15</f>
        <v>9.0000000000000006E-5</v>
      </c>
      <c r="O48" s="6">
        <f>$N$6*$F$15</f>
        <v>0.216</v>
      </c>
      <c r="P48" s="6">
        <f t="shared" si="19"/>
        <v>0.21600001874999916</v>
      </c>
      <c r="Q48" s="6">
        <f>Q47+P48</f>
        <v>39.345827198707731</v>
      </c>
      <c r="R48" s="104">
        <f t="shared" si="17"/>
        <v>5.8548205440760617</v>
      </c>
      <c r="S48" s="104"/>
      <c r="T48" s="104"/>
      <c r="U48" s="86"/>
      <c r="V48" s="133"/>
      <c r="W48" s="61"/>
    </row>
    <row r="49" spans="1:37" s="8" customFormat="1" x14ac:dyDescent="0.25">
      <c r="A49" s="46"/>
      <c r="B49" s="134" t="s">
        <v>254</v>
      </c>
      <c r="C49" s="10" t="s">
        <v>49</v>
      </c>
      <c r="D49" s="82">
        <f>$F$6*$F16*(2/$D16)*1000</f>
        <v>648</v>
      </c>
      <c r="E49" s="83">
        <f>2*$L$6*$F16</f>
        <v>5.76</v>
      </c>
      <c r="F49" s="6">
        <f>SQRT(D49^2+E49^2)</f>
        <v>648.02559949434101</v>
      </c>
      <c r="G49" s="6">
        <f t="shared" ref="G49:G56" si="20">$G$48+F49</f>
        <v>715.51909018966091</v>
      </c>
      <c r="H49" s="104">
        <f t="shared" si="16"/>
        <v>0.5576371133497473</v>
      </c>
      <c r="I49" s="104">
        <f t="shared" ref="I49:I70" si="21">($J$6*($D16/(H49*1000)))^2</f>
        <v>0.26581063766997914</v>
      </c>
      <c r="J49" s="104">
        <f t="shared" ref="J49:J57" si="22">H49/G16*1000</f>
        <v>34.852319584359208</v>
      </c>
      <c r="K49" s="6">
        <v>0.01</v>
      </c>
      <c r="L49" s="7" t="b">
        <f>IF(K49&lt;I49,TRUE,FALSE)</f>
        <v>1</v>
      </c>
      <c r="M49" s="107" t="b">
        <f t="shared" ref="M49:M50" si="23">IF(K49&lt;=5,TRUE,FALSE)</f>
        <v>1</v>
      </c>
      <c r="N49" s="74">
        <f>$F$6*$F16*(1/$D16+1/$E16)*1000</f>
        <v>648</v>
      </c>
      <c r="O49" s="6">
        <f>2*$L$6*$F16</f>
        <v>5.76</v>
      </c>
      <c r="P49" s="6">
        <f>SQRT(N49^2+O49^2)</f>
        <v>648.02559949434101</v>
      </c>
      <c r="Q49" s="6">
        <f t="shared" ref="Q49:Q56" si="24">$Q$48+P49</f>
        <v>687.37142669304876</v>
      </c>
      <c r="R49" s="104">
        <f t="shared" si="17"/>
        <v>0.33513577734084521</v>
      </c>
      <c r="S49" s="104">
        <f>($J$6*(MIN($D16:$E16)/(R49*1000)))^2</f>
        <v>0.73592594027893299</v>
      </c>
      <c r="T49" s="104">
        <f t="shared" ref="T49:T57" si="25">R49/G16*1000</f>
        <v>20.945986083802826</v>
      </c>
      <c r="U49" s="133">
        <v>0.01</v>
      </c>
      <c r="V49" s="133" t="b">
        <f t="shared" ref="V49:V50" si="26">IF(U49&lt;S49,TRUE,FALSE)</f>
        <v>1</v>
      </c>
      <c r="W49" s="61" t="b">
        <f t="shared" ref="W49:W50" si="27">IF(U49&lt;=5,TRUE,FALSE)</f>
        <v>1</v>
      </c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4"/>
      <c r="AK49" s="44"/>
    </row>
    <row r="50" spans="1:37" s="8" customFormat="1" x14ac:dyDescent="0.25">
      <c r="A50" s="46"/>
      <c r="B50" s="134" t="s">
        <v>253</v>
      </c>
      <c r="C50" s="10" t="s">
        <v>49</v>
      </c>
      <c r="D50" s="82">
        <f>$F$6*$F17*(2/$D17)*1000</f>
        <v>666</v>
      </c>
      <c r="E50" s="83">
        <f>2*$L$6*$F17</f>
        <v>5.92</v>
      </c>
      <c r="F50" s="6">
        <f>SQRT(D50^2+E50^2)</f>
        <v>666.02631059140595</v>
      </c>
      <c r="G50" s="6">
        <f t="shared" si="20"/>
        <v>733.51980128672585</v>
      </c>
      <c r="H50" s="104">
        <f t="shared" si="16"/>
        <v>0.54395259582642774</v>
      </c>
      <c r="I50" s="104">
        <f t="shared" si="21"/>
        <v>0.27935316155694162</v>
      </c>
      <c r="J50" s="104">
        <f t="shared" si="22"/>
        <v>33.997037239151737</v>
      </c>
      <c r="K50" s="6">
        <v>0.01</v>
      </c>
      <c r="L50" s="7" t="b">
        <f>IF(K50&lt;I50,TRUE,FALSE)</f>
        <v>1</v>
      </c>
      <c r="M50" s="107" t="b">
        <f t="shared" si="23"/>
        <v>1</v>
      </c>
      <c r="N50" s="74">
        <f>$F$6*$F17*(1/$D17+1/$E17)*1000</f>
        <v>666</v>
      </c>
      <c r="O50" s="6">
        <f>2*$L$6*$F17</f>
        <v>5.92</v>
      </c>
      <c r="P50" s="6">
        <f>SQRT(N50^2+O50^2)</f>
        <v>666.02631059140595</v>
      </c>
      <c r="Q50" s="6">
        <f t="shared" si="24"/>
        <v>705.3721377901137</v>
      </c>
      <c r="R50" s="104">
        <f t="shared" si="17"/>
        <v>0.32658329563224969</v>
      </c>
      <c r="S50" s="104">
        <f>($J$6*(MIN($D17:$E17)/(R50*1000)))^2</f>
        <v>0.77497512612488939</v>
      </c>
      <c r="T50" s="104">
        <f t="shared" si="25"/>
        <v>20.411455977015606</v>
      </c>
      <c r="U50" s="133">
        <v>0.01</v>
      </c>
      <c r="V50" s="133" t="b">
        <f t="shared" si="26"/>
        <v>1</v>
      </c>
      <c r="W50" s="61" t="b">
        <f t="shared" si="27"/>
        <v>1</v>
      </c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4"/>
      <c r="AK50" s="44"/>
    </row>
    <row r="51" spans="1:37" x14ac:dyDescent="0.25">
      <c r="A51" s="46"/>
      <c r="B51" s="63" t="s">
        <v>185</v>
      </c>
      <c r="C51" s="10" t="s">
        <v>49</v>
      </c>
      <c r="D51" s="57">
        <f>$F$6*$F18*(2/$D18)*1000</f>
        <v>13.649999999999999</v>
      </c>
      <c r="E51" s="6">
        <f>2*$L$6*$F18</f>
        <v>5.8239999999999998</v>
      </c>
      <c r="F51" s="6">
        <f t="shared" si="18"/>
        <v>14.840534896020426</v>
      </c>
      <c r="G51" s="6">
        <f t="shared" si="20"/>
        <v>82.334025591340293</v>
      </c>
      <c r="H51" s="104">
        <f t="shared" si="16"/>
        <v>4.8461131000737305</v>
      </c>
      <c r="I51" s="104">
        <f t="shared" si="21"/>
        <v>8.1090706006443067</v>
      </c>
      <c r="J51" s="104">
        <f t="shared" si="22"/>
        <v>38.768904800589844</v>
      </c>
      <c r="K51" s="6">
        <v>0.01</v>
      </c>
      <c r="L51" s="7" t="b">
        <f>IF(K51&lt;I51,TRUE,FALSE)</f>
        <v>1</v>
      </c>
      <c r="M51" s="107" t="b">
        <f t="shared" ref="M51:M70" si="28">IF(K51&lt;=5,TRUE,FALSE)</f>
        <v>1</v>
      </c>
      <c r="N51" s="74">
        <f>$F$6*$F18*(1/$D18+1/$E18)*1000</f>
        <v>18.524999999999999</v>
      </c>
      <c r="O51" s="6">
        <f>2*$L$6*$F18</f>
        <v>5.8239999999999998</v>
      </c>
      <c r="P51" s="6">
        <f t="shared" si="19"/>
        <v>19.41892378583324</v>
      </c>
      <c r="Q51" s="6">
        <f t="shared" si="24"/>
        <v>58.764750984540967</v>
      </c>
      <c r="R51" s="104">
        <f t="shared" si="17"/>
        <v>3.920083954193244</v>
      </c>
      <c r="S51" s="104">
        <f t="shared" ref="S51:S57" si="29">($K$6*(MIN($D18:$E18)/(R51*1000)))^2</f>
        <v>6.5204477424531584</v>
      </c>
      <c r="T51" s="104">
        <f t="shared" si="25"/>
        <v>31.360671633545952</v>
      </c>
      <c r="U51" s="86">
        <v>0.01</v>
      </c>
      <c r="V51" s="86" t="b">
        <f t="shared" ref="V51:V70" si="30">IF(U51&lt;S51,TRUE,FALSE)</f>
        <v>1</v>
      </c>
      <c r="W51" s="61" t="b">
        <f t="shared" ref="W51:W70" si="31">IF(U51&lt;=5,TRUE,FALSE)</f>
        <v>1</v>
      </c>
    </row>
    <row r="52" spans="1:37" s="8" customFormat="1" x14ac:dyDescent="0.25">
      <c r="A52" s="46"/>
      <c r="B52" s="63" t="s">
        <v>230</v>
      </c>
      <c r="C52" s="10" t="s">
        <v>49</v>
      </c>
      <c r="D52" s="57">
        <f t="shared" ref="D52:D57" si="32">$F$6*$F19*(2/$D19)*1000</f>
        <v>104.0625</v>
      </c>
      <c r="E52" s="6">
        <f t="shared" ref="E52:E57" si="33">2*$L$6*$F19</f>
        <v>1.48</v>
      </c>
      <c r="F52" s="6">
        <f t="shared" si="18"/>
        <v>104.07302391229919</v>
      </c>
      <c r="G52" s="6">
        <f t="shared" si="20"/>
        <v>171.56651460761907</v>
      </c>
      <c r="H52" s="104">
        <f t="shared" si="16"/>
        <v>2.3256286397875034</v>
      </c>
      <c r="I52" s="104">
        <f t="shared" si="21"/>
        <v>3.9123250397690393E-2</v>
      </c>
      <c r="J52" s="104">
        <f t="shared" si="22"/>
        <v>232.56286397875033</v>
      </c>
      <c r="K52" s="6">
        <v>0.01</v>
      </c>
      <c r="L52" s="7" t="b">
        <f t="shared" ref="L52:L57" si="34">IF(K52&lt;I52,TRUE,FALSE)</f>
        <v>1</v>
      </c>
      <c r="M52" s="107" t="b">
        <f t="shared" si="28"/>
        <v>1</v>
      </c>
      <c r="N52" s="74">
        <f t="shared" ref="N52:N57" si="35">$F$6*$F19*(1/$D19+1/$E19)*1000</f>
        <v>104.0625</v>
      </c>
      <c r="O52" s="6">
        <f t="shared" ref="O52:O57" si="36">2*$L$6*$F19</f>
        <v>1.48</v>
      </c>
      <c r="P52" s="6">
        <f t="shared" si="19"/>
        <v>104.07302391229919</v>
      </c>
      <c r="Q52" s="6">
        <f t="shared" si="24"/>
        <v>143.41885111100692</v>
      </c>
      <c r="R52" s="104">
        <f t="shared" si="17"/>
        <v>1.6062236980852591</v>
      </c>
      <c r="S52" s="104">
        <f t="shared" si="29"/>
        <v>0.12681773703355226</v>
      </c>
      <c r="T52" s="104">
        <f t="shared" si="25"/>
        <v>160.62236980852589</v>
      </c>
      <c r="U52" s="133">
        <v>0.01</v>
      </c>
      <c r="V52" s="133" t="b">
        <f t="shared" si="30"/>
        <v>1</v>
      </c>
      <c r="W52" s="61" t="b">
        <f t="shared" si="31"/>
        <v>1</v>
      </c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4"/>
      <c r="AK52" s="44"/>
    </row>
    <row r="53" spans="1:37" s="8" customFormat="1" x14ac:dyDescent="0.25">
      <c r="A53" s="46"/>
      <c r="B53" s="63" t="s">
        <v>231</v>
      </c>
      <c r="C53" s="10" t="s">
        <v>49</v>
      </c>
      <c r="D53" s="57">
        <f t="shared" si="32"/>
        <v>163.125</v>
      </c>
      <c r="E53" s="6">
        <f t="shared" si="33"/>
        <v>2.3199999999999998</v>
      </c>
      <c r="F53" s="6">
        <f t="shared" si="18"/>
        <v>163.14149694360415</v>
      </c>
      <c r="G53" s="6">
        <f t="shared" si="20"/>
        <v>230.63498763892403</v>
      </c>
      <c r="H53" s="104">
        <f t="shared" si="16"/>
        <v>1.7300063797114067</v>
      </c>
      <c r="I53" s="104">
        <f t="shared" si="21"/>
        <v>7.070013678249841E-2</v>
      </c>
      <c r="J53" s="104">
        <f t="shared" si="22"/>
        <v>173.00063797114069</v>
      </c>
      <c r="K53" s="6">
        <v>0.01</v>
      </c>
      <c r="L53" s="7" t="b">
        <f t="shared" si="34"/>
        <v>1</v>
      </c>
      <c r="M53" s="107" t="b">
        <f t="shared" si="28"/>
        <v>1</v>
      </c>
      <c r="N53" s="74">
        <f t="shared" si="35"/>
        <v>163.125</v>
      </c>
      <c r="O53" s="6">
        <f t="shared" si="36"/>
        <v>2.3199999999999998</v>
      </c>
      <c r="P53" s="6">
        <f t="shared" si="19"/>
        <v>163.14149694360415</v>
      </c>
      <c r="Q53" s="6">
        <f t="shared" si="24"/>
        <v>202.48732414231188</v>
      </c>
      <c r="R53" s="104">
        <f t="shared" si="17"/>
        <v>1.1376650779619046</v>
      </c>
      <c r="S53" s="104">
        <f t="shared" si="29"/>
        <v>0.25279192870810896</v>
      </c>
      <c r="T53" s="104">
        <f t="shared" si="25"/>
        <v>113.76650779619047</v>
      </c>
      <c r="U53" s="133">
        <v>0.01</v>
      </c>
      <c r="V53" s="133" t="b">
        <f t="shared" si="30"/>
        <v>1</v>
      </c>
      <c r="W53" s="61" t="b">
        <f t="shared" si="31"/>
        <v>1</v>
      </c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4"/>
      <c r="AK53" s="44"/>
    </row>
    <row r="54" spans="1:37" s="8" customFormat="1" x14ac:dyDescent="0.25">
      <c r="A54" s="46"/>
      <c r="B54" s="63" t="s">
        <v>232</v>
      </c>
      <c r="C54" s="10" t="s">
        <v>49</v>
      </c>
      <c r="D54" s="57">
        <f t="shared" si="32"/>
        <v>227.8125</v>
      </c>
      <c r="E54" s="6">
        <f t="shared" si="33"/>
        <v>3.24</v>
      </c>
      <c r="F54" s="6">
        <f t="shared" si="18"/>
        <v>227.83553883503339</v>
      </c>
      <c r="G54" s="6">
        <f t="shared" si="20"/>
        <v>295.32902953035324</v>
      </c>
      <c r="H54" s="104">
        <f t="shared" si="16"/>
        <v>1.3510354895843102</v>
      </c>
      <c r="I54" s="104">
        <f t="shared" si="21"/>
        <v>0.11592634638346994</v>
      </c>
      <c r="J54" s="104">
        <f t="shared" si="22"/>
        <v>135.10354895843102</v>
      </c>
      <c r="K54" s="6">
        <v>0.01</v>
      </c>
      <c r="L54" s="7" t="b">
        <f t="shared" si="34"/>
        <v>1</v>
      </c>
      <c r="M54" s="107" t="b">
        <f t="shared" si="28"/>
        <v>1</v>
      </c>
      <c r="N54" s="74">
        <f t="shared" si="35"/>
        <v>227.8125</v>
      </c>
      <c r="O54" s="6">
        <f t="shared" si="36"/>
        <v>3.24</v>
      </c>
      <c r="P54" s="6">
        <f t="shared" si="19"/>
        <v>227.83553883503339</v>
      </c>
      <c r="Q54" s="6">
        <f t="shared" si="24"/>
        <v>267.18136603374114</v>
      </c>
      <c r="R54" s="104">
        <f t="shared" si="17"/>
        <v>0.86219619588878527</v>
      </c>
      <c r="S54" s="104">
        <f t="shared" si="29"/>
        <v>0.44012886601188944</v>
      </c>
      <c r="T54" s="104">
        <f t="shared" si="25"/>
        <v>86.21961958887853</v>
      </c>
      <c r="U54" s="133">
        <v>0.01</v>
      </c>
      <c r="V54" s="133" t="b">
        <f t="shared" si="30"/>
        <v>1</v>
      </c>
      <c r="W54" s="61" t="b">
        <f t="shared" si="31"/>
        <v>1</v>
      </c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4"/>
      <c r="AK54" s="44"/>
    </row>
    <row r="55" spans="1:37" s="8" customFormat="1" x14ac:dyDescent="0.25">
      <c r="A55" s="46"/>
      <c r="B55" s="63" t="s">
        <v>233</v>
      </c>
      <c r="C55" s="10" t="s">
        <v>49</v>
      </c>
      <c r="D55" s="57">
        <f t="shared" si="32"/>
        <v>261.5625</v>
      </c>
      <c r="E55" s="6">
        <f t="shared" si="33"/>
        <v>3.72</v>
      </c>
      <c r="F55" s="6">
        <f t="shared" si="18"/>
        <v>261.58895199577904</v>
      </c>
      <c r="G55" s="6">
        <f t="shared" si="20"/>
        <v>329.08244269109889</v>
      </c>
      <c r="H55" s="104">
        <f t="shared" si="16"/>
        <v>1.2124621317902726</v>
      </c>
      <c r="I55" s="104">
        <f t="shared" si="21"/>
        <v>0.14393927026164124</v>
      </c>
      <c r="J55" s="104">
        <f t="shared" si="22"/>
        <v>121.24621317902725</v>
      </c>
      <c r="K55" s="6">
        <v>0.01</v>
      </c>
      <c r="L55" s="7" t="b">
        <f t="shared" si="34"/>
        <v>1</v>
      </c>
      <c r="M55" s="107" t="b">
        <f t="shared" si="28"/>
        <v>1</v>
      </c>
      <c r="N55" s="74">
        <f t="shared" si="35"/>
        <v>261.5625</v>
      </c>
      <c r="O55" s="6">
        <f t="shared" si="36"/>
        <v>3.72</v>
      </c>
      <c r="P55" s="6">
        <f t="shared" si="19"/>
        <v>261.58895199577904</v>
      </c>
      <c r="Q55" s="6">
        <f t="shared" si="24"/>
        <v>300.93477919448679</v>
      </c>
      <c r="R55" s="104">
        <f t="shared" si="17"/>
        <v>0.76549064226897767</v>
      </c>
      <c r="S55" s="104">
        <f t="shared" si="29"/>
        <v>0.55835741185545429</v>
      </c>
      <c r="T55" s="104">
        <f t="shared" si="25"/>
        <v>76.549064226897769</v>
      </c>
      <c r="U55" s="133">
        <v>0.01</v>
      </c>
      <c r="V55" s="133" t="b">
        <f t="shared" si="30"/>
        <v>1</v>
      </c>
      <c r="W55" s="61" t="b">
        <f t="shared" si="31"/>
        <v>1</v>
      </c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4"/>
      <c r="AK55" s="44"/>
    </row>
    <row r="56" spans="1:37" s="8" customFormat="1" x14ac:dyDescent="0.25">
      <c r="A56" s="46"/>
      <c r="B56" s="63" t="s">
        <v>234</v>
      </c>
      <c r="C56" s="10" t="s">
        <v>49</v>
      </c>
      <c r="D56" s="57">
        <f t="shared" si="32"/>
        <v>348.1875</v>
      </c>
      <c r="E56" s="6">
        <f t="shared" si="33"/>
        <v>4.952</v>
      </c>
      <c r="F56" s="6">
        <f t="shared" si="18"/>
        <v>348.22271244169298</v>
      </c>
      <c r="G56" s="6">
        <f t="shared" si="20"/>
        <v>415.71620313701283</v>
      </c>
      <c r="H56" s="104">
        <f t="shared" si="16"/>
        <v>0.95978938754161702</v>
      </c>
      <c r="I56" s="104">
        <f t="shared" si="21"/>
        <v>0.22970147087090173</v>
      </c>
      <c r="J56" s="104">
        <f t="shared" si="22"/>
        <v>95.978938754161703</v>
      </c>
      <c r="K56" s="6">
        <v>0.01</v>
      </c>
      <c r="L56" s="7" t="b">
        <f t="shared" si="34"/>
        <v>1</v>
      </c>
      <c r="M56" s="107" t="b">
        <f t="shared" si="28"/>
        <v>1</v>
      </c>
      <c r="N56" s="74">
        <f t="shared" si="35"/>
        <v>348.1875</v>
      </c>
      <c r="O56" s="6">
        <f t="shared" si="36"/>
        <v>4.952</v>
      </c>
      <c r="P56" s="6">
        <f t="shared" si="19"/>
        <v>348.22271244169298</v>
      </c>
      <c r="Q56" s="6">
        <f t="shared" si="24"/>
        <v>387.56853964040073</v>
      </c>
      <c r="R56" s="104">
        <f t="shared" si="17"/>
        <v>0.59437940349956964</v>
      </c>
      <c r="S56" s="104">
        <f t="shared" si="29"/>
        <v>0.92611422294698675</v>
      </c>
      <c r="T56" s="104">
        <f t="shared" si="25"/>
        <v>59.437940349956961</v>
      </c>
      <c r="U56" s="133">
        <v>0.01</v>
      </c>
      <c r="V56" s="133" t="b">
        <f t="shared" si="30"/>
        <v>1</v>
      </c>
      <c r="W56" s="61" t="b">
        <f t="shared" si="31"/>
        <v>1</v>
      </c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4"/>
      <c r="AK56" s="44"/>
    </row>
    <row r="57" spans="1:37" s="8" customFormat="1" x14ac:dyDescent="0.25">
      <c r="A57" s="46"/>
      <c r="B57" s="63" t="s">
        <v>251</v>
      </c>
      <c r="C57" s="10" t="s">
        <v>49</v>
      </c>
      <c r="D57" s="57">
        <f t="shared" si="32"/>
        <v>666</v>
      </c>
      <c r="E57" s="6">
        <f t="shared" si="33"/>
        <v>5.92</v>
      </c>
      <c r="F57" s="6">
        <f t="shared" si="18"/>
        <v>666.02631059140595</v>
      </c>
      <c r="G57" s="6">
        <f>$G$51+F57</f>
        <v>748.36033618274621</v>
      </c>
      <c r="H57" s="104">
        <f t="shared" si="16"/>
        <v>0.53316561649329053</v>
      </c>
      <c r="I57" s="104">
        <f t="shared" si="21"/>
        <v>0.29077122726944971</v>
      </c>
      <c r="J57" s="104">
        <f t="shared" si="22"/>
        <v>53.316561649329053</v>
      </c>
      <c r="K57" s="6">
        <v>0.01</v>
      </c>
      <c r="L57" s="7" t="b">
        <f t="shared" si="34"/>
        <v>1</v>
      </c>
      <c r="M57" s="107" t="b">
        <f t="shared" si="28"/>
        <v>1</v>
      </c>
      <c r="N57" s="74">
        <f t="shared" si="35"/>
        <v>666</v>
      </c>
      <c r="O57" s="6">
        <f t="shared" si="36"/>
        <v>5.92</v>
      </c>
      <c r="P57" s="6">
        <f t="shared" si="19"/>
        <v>666.02631059140595</v>
      </c>
      <c r="Q57" s="6">
        <f>$Q$51+P57</f>
        <v>724.79106157594697</v>
      </c>
      <c r="R57" s="104">
        <f t="shared" si="17"/>
        <v>0.31783333103718497</v>
      </c>
      <c r="S57" s="104">
        <f t="shared" si="29"/>
        <v>1.2651826080765827</v>
      </c>
      <c r="T57" s="104">
        <f t="shared" si="25"/>
        <v>31.783333103718498</v>
      </c>
      <c r="U57" s="133">
        <v>0.01</v>
      </c>
      <c r="V57" s="133" t="b">
        <f t="shared" si="30"/>
        <v>1</v>
      </c>
      <c r="W57" s="61" t="b">
        <f t="shared" si="31"/>
        <v>1</v>
      </c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4"/>
      <c r="AK57" s="44"/>
    </row>
    <row r="58" spans="1:37" x14ac:dyDescent="0.25">
      <c r="A58" s="46"/>
      <c r="B58" s="63" t="s">
        <v>235</v>
      </c>
      <c r="C58" s="10" t="s">
        <v>49</v>
      </c>
      <c r="D58" s="57">
        <f t="shared" ref="D58:D66" si="37">$F$6*$F26*(2/$D26)*1000</f>
        <v>135.9</v>
      </c>
      <c r="E58" s="6">
        <f t="shared" ref="E58:E66" si="38">2*$L$6*$F26</f>
        <v>4.8319999999999999</v>
      </c>
      <c r="F58" s="6">
        <f t="shared" si="18"/>
        <v>135.98587509002544</v>
      </c>
      <c r="G58" s="6">
        <f t="shared" ref="G58:G67" si="39">$G$48+F58</f>
        <v>203.47936578534529</v>
      </c>
      <c r="H58" s="104">
        <f t="shared" si="16"/>
        <v>1.9608867880044092</v>
      </c>
      <c r="I58" s="104">
        <f t="shared" si="21"/>
        <v>2.1496643656167125</v>
      </c>
      <c r="J58" s="104">
        <f t="shared" ref="J58:J70" si="40">H58/G26*1000</f>
        <v>78.435471520176364</v>
      </c>
      <c r="K58" s="6">
        <v>0.01</v>
      </c>
      <c r="L58" s="7" t="b">
        <f t="shared" ref="L58:L70" si="41">IF(K58&lt;I58,TRUE,FALSE)</f>
        <v>1</v>
      </c>
      <c r="M58" s="107" t="b">
        <f t="shared" si="28"/>
        <v>1</v>
      </c>
      <c r="N58" s="74">
        <f t="shared" ref="N58:N68" si="42">$F$6*$F26*(1/$D26+1/$E26)*1000</f>
        <v>135.9</v>
      </c>
      <c r="O58" s="6">
        <f t="shared" ref="O58:O68" si="43">2*$L$6*$F26</f>
        <v>4.8319999999999999</v>
      </c>
      <c r="P58" s="6">
        <f t="shared" si="19"/>
        <v>135.98587509002544</v>
      </c>
      <c r="Q58" s="6">
        <f t="shared" ref="Q58:Q70" si="44">$Q$48+P58</f>
        <v>175.33170228873317</v>
      </c>
      <c r="R58" s="104">
        <f t="shared" si="17"/>
        <v>1.3138682531428536</v>
      </c>
      <c r="S58" s="104">
        <f t="shared" ref="S58:S70" si="45">($K$6*(MIN($D26:$E26)/(R58*1000)))^2</f>
        <v>1.1845910226050671</v>
      </c>
      <c r="T58" s="104">
        <f t="shared" ref="T58:T70" si="46">R58/G26*1000</f>
        <v>52.554730125714144</v>
      </c>
      <c r="U58" s="86">
        <v>0.01</v>
      </c>
      <c r="V58" s="86" t="b">
        <f t="shared" si="30"/>
        <v>1</v>
      </c>
      <c r="W58" s="61" t="b">
        <f t="shared" si="31"/>
        <v>1</v>
      </c>
    </row>
    <row r="59" spans="1:37" x14ac:dyDescent="0.25">
      <c r="A59" s="46"/>
      <c r="B59" s="63" t="s">
        <v>187</v>
      </c>
      <c r="C59" s="69" t="s">
        <v>49</v>
      </c>
      <c r="D59" s="57">
        <f t="shared" si="37"/>
        <v>115.2</v>
      </c>
      <c r="E59" s="6">
        <f t="shared" si="38"/>
        <v>4.0960000000000001</v>
      </c>
      <c r="F59" s="6">
        <f t="shared" si="18"/>
        <v>115.27279477829971</v>
      </c>
      <c r="G59" s="6">
        <f t="shared" si="39"/>
        <v>182.76628547361958</v>
      </c>
      <c r="H59" s="104">
        <f t="shared" si="16"/>
        <v>2.1831159886301434</v>
      </c>
      <c r="I59" s="104">
        <f t="shared" si="21"/>
        <v>0.27748662839713967</v>
      </c>
      <c r="J59" s="104">
        <f t="shared" si="40"/>
        <v>87.324639545205741</v>
      </c>
      <c r="K59" s="6">
        <v>0.01</v>
      </c>
      <c r="L59" s="7" t="b">
        <f t="shared" si="41"/>
        <v>1</v>
      </c>
      <c r="M59" s="107" t="b">
        <f t="shared" si="28"/>
        <v>1</v>
      </c>
      <c r="N59" s="74">
        <f t="shared" si="42"/>
        <v>115.2</v>
      </c>
      <c r="O59" s="6">
        <f t="shared" si="43"/>
        <v>4.0960000000000001</v>
      </c>
      <c r="P59" s="6">
        <f t="shared" si="19"/>
        <v>115.27279477829971</v>
      </c>
      <c r="Q59" s="6">
        <f t="shared" si="44"/>
        <v>154.61862197700745</v>
      </c>
      <c r="R59" s="104">
        <f t="shared" si="17"/>
        <v>1.4898771859505822</v>
      </c>
      <c r="S59" s="104">
        <f t="shared" si="45"/>
        <v>0.92123649639332073</v>
      </c>
      <c r="T59" s="104">
        <f t="shared" si="46"/>
        <v>59.595087438023292</v>
      </c>
      <c r="U59" s="86">
        <v>0.01</v>
      </c>
      <c r="V59" s="86" t="b">
        <f t="shared" si="30"/>
        <v>1</v>
      </c>
      <c r="W59" s="61" t="b">
        <f t="shared" si="31"/>
        <v>1</v>
      </c>
    </row>
    <row r="60" spans="1:37" x14ac:dyDescent="0.25">
      <c r="A60" s="46"/>
      <c r="B60" s="63" t="s">
        <v>188</v>
      </c>
      <c r="C60" s="69" t="s">
        <v>49</v>
      </c>
      <c r="D60" s="57">
        <f t="shared" si="37"/>
        <v>76.950000000000017</v>
      </c>
      <c r="E60" s="6">
        <f t="shared" si="38"/>
        <v>2.7360000000000002</v>
      </c>
      <c r="F60" s="6">
        <f t="shared" si="18"/>
        <v>76.998624637067394</v>
      </c>
      <c r="G60" s="6">
        <f t="shared" si="39"/>
        <v>144.49211533238724</v>
      </c>
      <c r="H60" s="104">
        <f t="shared" si="16"/>
        <v>2.7613963508122716</v>
      </c>
      <c r="I60" s="104">
        <f t="shared" si="21"/>
        <v>0.17343557620582717</v>
      </c>
      <c r="J60" s="104">
        <f t="shared" si="40"/>
        <v>110.45585403249086</v>
      </c>
      <c r="K60" s="6">
        <v>0.01</v>
      </c>
      <c r="L60" s="7" t="b">
        <f t="shared" si="41"/>
        <v>1</v>
      </c>
      <c r="M60" s="107" t="b">
        <f t="shared" si="28"/>
        <v>1</v>
      </c>
      <c r="N60" s="74">
        <f t="shared" si="42"/>
        <v>76.950000000000017</v>
      </c>
      <c r="O60" s="6">
        <f t="shared" si="43"/>
        <v>2.7360000000000002</v>
      </c>
      <c r="P60" s="6">
        <f t="shared" si="19"/>
        <v>76.998624637067394</v>
      </c>
      <c r="Q60" s="6">
        <f t="shared" si="44"/>
        <v>116.34445183577512</v>
      </c>
      <c r="R60" s="104">
        <f t="shared" si="17"/>
        <v>1.9800063842479314</v>
      </c>
      <c r="S60" s="104">
        <f t="shared" si="45"/>
        <v>0.52160157459570378</v>
      </c>
      <c r="T60" s="104">
        <f t="shared" si="46"/>
        <v>79.200255369917258</v>
      </c>
      <c r="U60" s="86">
        <v>0.01</v>
      </c>
      <c r="V60" s="86" t="b">
        <f t="shared" si="30"/>
        <v>1</v>
      </c>
      <c r="W60" s="61" t="b">
        <f t="shared" si="31"/>
        <v>1</v>
      </c>
    </row>
    <row r="61" spans="1:37" x14ac:dyDescent="0.25">
      <c r="A61" s="46"/>
      <c r="B61" s="63" t="s">
        <v>189</v>
      </c>
      <c r="C61" s="69" t="s">
        <v>49</v>
      </c>
      <c r="D61" s="57">
        <f t="shared" si="37"/>
        <v>55.35</v>
      </c>
      <c r="E61" s="6">
        <f t="shared" si="38"/>
        <v>1.9680000000000002</v>
      </c>
      <c r="F61" s="6">
        <f t="shared" si="18"/>
        <v>55.384975616136188</v>
      </c>
      <c r="G61" s="6">
        <f t="shared" si="39"/>
        <v>122.87846631145605</v>
      </c>
      <c r="H61" s="104">
        <f t="shared" si="16"/>
        <v>3.2471108403051492</v>
      </c>
      <c r="I61" s="104">
        <f t="shared" si="21"/>
        <v>0.12543000905359311</v>
      </c>
      <c r="J61" s="104">
        <f t="shared" si="40"/>
        <v>129.88443361220598</v>
      </c>
      <c r="K61" s="6">
        <v>0.01</v>
      </c>
      <c r="L61" s="7" t="b">
        <f t="shared" si="41"/>
        <v>1</v>
      </c>
      <c r="M61" s="107" t="b">
        <f t="shared" si="28"/>
        <v>1</v>
      </c>
      <c r="N61" s="74">
        <f t="shared" si="42"/>
        <v>55.35</v>
      </c>
      <c r="O61" s="6">
        <f t="shared" si="43"/>
        <v>1.9680000000000002</v>
      </c>
      <c r="P61" s="6">
        <f t="shared" si="19"/>
        <v>55.384975616136188</v>
      </c>
      <c r="Q61" s="6">
        <f t="shared" si="44"/>
        <v>94.730802814843912</v>
      </c>
      <c r="R61" s="104">
        <f t="shared" si="17"/>
        <v>2.43176190385419</v>
      </c>
      <c r="S61" s="104">
        <f t="shared" si="45"/>
        <v>0.34580396925541285</v>
      </c>
      <c r="T61" s="104">
        <f t="shared" si="46"/>
        <v>97.270476154167611</v>
      </c>
      <c r="U61" s="86">
        <v>0.01</v>
      </c>
      <c r="V61" s="86" t="b">
        <f t="shared" si="30"/>
        <v>1</v>
      </c>
      <c r="W61" s="61" t="b">
        <f t="shared" si="31"/>
        <v>1</v>
      </c>
    </row>
    <row r="62" spans="1:37" x14ac:dyDescent="0.25">
      <c r="A62" s="46"/>
      <c r="B62" s="63" t="s">
        <v>190</v>
      </c>
      <c r="C62" s="69" t="s">
        <v>49</v>
      </c>
      <c r="D62" s="57">
        <f t="shared" si="37"/>
        <v>6.8785714285714272</v>
      </c>
      <c r="E62" s="6">
        <f t="shared" si="38"/>
        <v>1.712</v>
      </c>
      <c r="F62" s="6">
        <f t="shared" si="18"/>
        <v>7.0884193511642044</v>
      </c>
      <c r="G62" s="6">
        <f t="shared" si="39"/>
        <v>74.581910046484069</v>
      </c>
      <c r="H62" s="104">
        <f t="shared" si="16"/>
        <v>5.349822761998432</v>
      </c>
      <c r="I62" s="104">
        <f t="shared" si="21"/>
        <v>4.6207970285522613E-2</v>
      </c>
      <c r="J62" s="104">
        <f t="shared" si="40"/>
        <v>66.872784524980403</v>
      </c>
      <c r="K62" s="6">
        <v>0.01</v>
      </c>
      <c r="L62" s="7" t="b">
        <f t="shared" si="41"/>
        <v>1</v>
      </c>
      <c r="M62" s="107" t="b">
        <f t="shared" si="28"/>
        <v>1</v>
      </c>
      <c r="N62" s="74">
        <f t="shared" si="42"/>
        <v>10.317857142857141</v>
      </c>
      <c r="O62" s="6">
        <f t="shared" si="43"/>
        <v>1.712</v>
      </c>
      <c r="P62" s="6">
        <f t="shared" si="19"/>
        <v>10.45892537598429</v>
      </c>
      <c r="Q62" s="6">
        <f t="shared" si="44"/>
        <v>49.804752574692017</v>
      </c>
      <c r="R62" s="104">
        <f t="shared" si="17"/>
        <v>4.6253167719523649</v>
      </c>
      <c r="S62" s="104">
        <f t="shared" si="45"/>
        <v>1.1709145449609559</v>
      </c>
      <c r="T62" s="104">
        <f t="shared" si="46"/>
        <v>57.816459649404557</v>
      </c>
      <c r="U62" s="86">
        <v>0.01</v>
      </c>
      <c r="V62" s="86" t="b">
        <f t="shared" si="30"/>
        <v>1</v>
      </c>
      <c r="W62" s="61" t="b">
        <f t="shared" si="31"/>
        <v>1</v>
      </c>
    </row>
    <row r="63" spans="1:37" x14ac:dyDescent="0.25">
      <c r="A63" s="46"/>
      <c r="B63" s="63" t="s">
        <v>191</v>
      </c>
      <c r="C63" s="69" t="s">
        <v>49</v>
      </c>
      <c r="D63" s="57">
        <f t="shared" si="37"/>
        <v>2.6742857142857139</v>
      </c>
      <c r="E63" s="6">
        <f t="shared" si="38"/>
        <v>0.66560000000000008</v>
      </c>
      <c r="F63" s="6">
        <f t="shared" si="18"/>
        <v>2.7558714486769245</v>
      </c>
      <c r="G63" s="6">
        <f t="shared" si="39"/>
        <v>70.249362143996791</v>
      </c>
      <c r="H63" s="104">
        <f t="shared" si="16"/>
        <v>5.6797668736426647</v>
      </c>
      <c r="I63" s="104">
        <f t="shared" si="21"/>
        <v>2.0087724333538923</v>
      </c>
      <c r="J63" s="104">
        <f t="shared" si="40"/>
        <v>70.997085920533308</v>
      </c>
      <c r="K63" s="6">
        <v>0.01</v>
      </c>
      <c r="L63" s="7" t="b">
        <f t="shared" si="41"/>
        <v>1</v>
      </c>
      <c r="M63" s="107" t="b">
        <f t="shared" si="28"/>
        <v>1</v>
      </c>
      <c r="N63" s="74">
        <f t="shared" si="42"/>
        <v>4.0114285714285716</v>
      </c>
      <c r="O63" s="6">
        <f t="shared" si="43"/>
        <v>0.66560000000000008</v>
      </c>
      <c r="P63" s="6">
        <f t="shared" si="19"/>
        <v>4.0662737910368838</v>
      </c>
      <c r="Q63" s="6">
        <f t="shared" si="44"/>
        <v>43.412100989744616</v>
      </c>
      <c r="R63" s="104">
        <f t="shared" si="17"/>
        <v>5.3064180759433883</v>
      </c>
      <c r="S63" s="104">
        <f t="shared" si="45"/>
        <v>0.88962143044593878</v>
      </c>
      <c r="T63" s="104">
        <f t="shared" si="46"/>
        <v>66.330225949292355</v>
      </c>
      <c r="U63" s="86">
        <v>0.01</v>
      </c>
      <c r="V63" s="86" t="b">
        <f t="shared" si="30"/>
        <v>1</v>
      </c>
      <c r="W63" s="61" t="b">
        <f t="shared" si="31"/>
        <v>1</v>
      </c>
    </row>
    <row r="64" spans="1:37" x14ac:dyDescent="0.25">
      <c r="A64" s="46"/>
      <c r="B64" s="63" t="s">
        <v>192</v>
      </c>
      <c r="C64" s="69" t="s">
        <v>49</v>
      </c>
      <c r="D64" s="57">
        <f t="shared" si="37"/>
        <v>37.799999999999997</v>
      </c>
      <c r="E64" s="6">
        <f t="shared" si="38"/>
        <v>1.3440000000000001</v>
      </c>
      <c r="F64" s="6">
        <f t="shared" si="18"/>
        <v>37.823885786629589</v>
      </c>
      <c r="G64" s="6">
        <f t="shared" si="39"/>
        <v>105.31737648194945</v>
      </c>
      <c r="H64" s="104">
        <f t="shared" si="16"/>
        <v>3.7885486073457724</v>
      </c>
      <c r="I64" s="104">
        <f t="shared" si="21"/>
        <v>4.5148781458929825</v>
      </c>
      <c r="J64" s="104">
        <f t="shared" si="40"/>
        <v>151.54194429383088</v>
      </c>
      <c r="K64" s="6">
        <v>0.01</v>
      </c>
      <c r="L64" s="7" t="b">
        <f t="shared" si="41"/>
        <v>1</v>
      </c>
      <c r="M64" s="107" t="b">
        <f t="shared" si="28"/>
        <v>1</v>
      </c>
      <c r="N64" s="74">
        <f t="shared" si="42"/>
        <v>37.799999999999997</v>
      </c>
      <c r="O64" s="6">
        <f t="shared" si="43"/>
        <v>1.3440000000000001</v>
      </c>
      <c r="P64" s="6">
        <f t="shared" si="19"/>
        <v>37.823885786629589</v>
      </c>
      <c r="Q64" s="6">
        <f t="shared" si="44"/>
        <v>77.169712985337327</v>
      </c>
      <c r="R64" s="104">
        <f t="shared" si="17"/>
        <v>2.9851446700395385</v>
      </c>
      <c r="S64" s="104">
        <f t="shared" si="45"/>
        <v>0.22947813321120897</v>
      </c>
      <c r="T64" s="104">
        <f t="shared" si="46"/>
        <v>119.40578680158154</v>
      </c>
      <c r="U64" s="86">
        <v>0.01</v>
      </c>
      <c r="V64" s="86" t="b">
        <f t="shared" si="30"/>
        <v>1</v>
      </c>
      <c r="W64" s="61" t="b">
        <f t="shared" si="31"/>
        <v>1</v>
      </c>
    </row>
    <row r="65" spans="1:37" x14ac:dyDescent="0.25">
      <c r="A65" s="46"/>
      <c r="B65" s="63" t="s">
        <v>193</v>
      </c>
      <c r="C65" s="69" t="s">
        <v>49</v>
      </c>
      <c r="D65" s="57">
        <f t="shared" si="37"/>
        <v>38.25</v>
      </c>
      <c r="E65" s="6">
        <f t="shared" si="38"/>
        <v>2.1760000000000002</v>
      </c>
      <c r="F65" s="6">
        <f t="shared" si="18"/>
        <v>38.311845113489376</v>
      </c>
      <c r="G65" s="6">
        <f t="shared" si="39"/>
        <v>105.80533580880925</v>
      </c>
      <c r="H65" s="104">
        <f t="shared" si="16"/>
        <v>3.7710763540413019</v>
      </c>
      <c r="I65" s="104">
        <f t="shared" si="21"/>
        <v>9.2996162811324667E-2</v>
      </c>
      <c r="J65" s="104">
        <f t="shared" si="40"/>
        <v>117.84613606379068</v>
      </c>
      <c r="K65" s="6">
        <v>0.01</v>
      </c>
      <c r="L65" s="7" t="b">
        <f t="shared" si="41"/>
        <v>1</v>
      </c>
      <c r="M65" s="107" t="b">
        <f t="shared" si="28"/>
        <v>1</v>
      </c>
      <c r="N65" s="74">
        <f t="shared" si="42"/>
        <v>38.25</v>
      </c>
      <c r="O65" s="6">
        <f t="shared" si="43"/>
        <v>2.1760000000000002</v>
      </c>
      <c r="P65" s="6">
        <f t="shared" si="19"/>
        <v>38.311845113489376</v>
      </c>
      <c r="Q65" s="6">
        <f t="shared" si="44"/>
        <v>77.657672312197107</v>
      </c>
      <c r="R65" s="104">
        <f t="shared" si="17"/>
        <v>2.9663876156442477</v>
      </c>
      <c r="S65" s="104">
        <f t="shared" si="45"/>
        <v>0.59491681140742814</v>
      </c>
      <c r="T65" s="104">
        <f t="shared" si="46"/>
        <v>92.699612988882734</v>
      </c>
      <c r="U65" s="86">
        <v>0.01</v>
      </c>
      <c r="V65" s="86" t="b">
        <f t="shared" si="30"/>
        <v>1</v>
      </c>
      <c r="W65" s="61" t="b">
        <f t="shared" si="31"/>
        <v>1</v>
      </c>
    </row>
    <row r="66" spans="1:37" x14ac:dyDescent="0.25">
      <c r="A66" s="46"/>
      <c r="B66" s="63" t="s">
        <v>194</v>
      </c>
      <c r="C66" s="69" t="s">
        <v>49</v>
      </c>
      <c r="D66" s="57">
        <f t="shared" si="37"/>
        <v>52.875</v>
      </c>
      <c r="E66" s="6">
        <f t="shared" si="38"/>
        <v>3.008</v>
      </c>
      <c r="F66" s="6">
        <f t="shared" si="18"/>
        <v>52.960491774529437</v>
      </c>
      <c r="G66" s="6">
        <f t="shared" si="39"/>
        <v>120.45398246984931</v>
      </c>
      <c r="H66" s="104">
        <f t="shared" si="16"/>
        <v>3.3124683121197194</v>
      </c>
      <c r="I66" s="104">
        <f t="shared" si="21"/>
        <v>0.30855471073939233</v>
      </c>
      <c r="J66" s="104">
        <f t="shared" si="40"/>
        <v>103.51463475374123</v>
      </c>
      <c r="K66" s="6">
        <v>0.01</v>
      </c>
      <c r="L66" s="7" t="b">
        <f t="shared" si="41"/>
        <v>1</v>
      </c>
      <c r="M66" s="107" t="b">
        <f t="shared" si="28"/>
        <v>1</v>
      </c>
      <c r="N66" s="74">
        <f t="shared" si="42"/>
        <v>52.875</v>
      </c>
      <c r="O66" s="6">
        <f t="shared" si="43"/>
        <v>3.008</v>
      </c>
      <c r="P66" s="6">
        <f t="shared" si="19"/>
        <v>52.960491774529437</v>
      </c>
      <c r="Q66" s="6">
        <f t="shared" si="44"/>
        <v>92.306318973237168</v>
      </c>
      <c r="R66" s="104">
        <f t="shared" si="17"/>
        <v>2.4956336680856155</v>
      </c>
      <c r="S66" s="104">
        <f t="shared" si="45"/>
        <v>0.8405244831842984</v>
      </c>
      <c r="T66" s="104">
        <f t="shared" si="46"/>
        <v>77.98855212767549</v>
      </c>
      <c r="U66" s="86">
        <v>0.01</v>
      </c>
      <c r="V66" s="86" t="b">
        <f t="shared" si="30"/>
        <v>1</v>
      </c>
      <c r="W66" s="61" t="b">
        <f t="shared" si="31"/>
        <v>1</v>
      </c>
    </row>
    <row r="67" spans="1:37" x14ac:dyDescent="0.25">
      <c r="A67" s="46"/>
      <c r="B67" s="63" t="s">
        <v>195</v>
      </c>
      <c r="C67" s="69" t="s">
        <v>49</v>
      </c>
      <c r="D67" s="57">
        <f>$F$6*$F35*(2/$D35)*1000</f>
        <v>90</v>
      </c>
      <c r="E67" s="6">
        <f>2*$L$6*$F35</f>
        <v>5.12</v>
      </c>
      <c r="F67" s="6">
        <f t="shared" si="18"/>
        <v>90.14551791409265</v>
      </c>
      <c r="G67" s="6">
        <f t="shared" si="39"/>
        <v>157.63900860941251</v>
      </c>
      <c r="H67" s="104">
        <f>($R$6*$Q$6*$O$6)/G67</f>
        <v>2.531099399315659</v>
      </c>
      <c r="I67" s="104">
        <f t="shared" si="21"/>
        <v>0.52846623512986413</v>
      </c>
      <c r="J67" s="104">
        <f t="shared" si="40"/>
        <v>79.096856228614342</v>
      </c>
      <c r="K67" s="6">
        <v>0.01</v>
      </c>
      <c r="L67" s="7" t="b">
        <f t="shared" si="41"/>
        <v>1</v>
      </c>
      <c r="M67" s="107" t="b">
        <f t="shared" si="28"/>
        <v>1</v>
      </c>
      <c r="N67" s="74">
        <f t="shared" si="42"/>
        <v>90</v>
      </c>
      <c r="O67" s="6">
        <f t="shared" si="43"/>
        <v>5.12</v>
      </c>
      <c r="P67" s="6">
        <f t="shared" si="19"/>
        <v>90.14551791409265</v>
      </c>
      <c r="Q67" s="6">
        <f t="shared" si="44"/>
        <v>129.49134511280039</v>
      </c>
      <c r="R67" s="104">
        <f t="shared" si="17"/>
        <v>1.7789818864418379</v>
      </c>
      <c r="S67" s="104">
        <f t="shared" si="45"/>
        <v>1.6541275232259582</v>
      </c>
      <c r="T67" s="104">
        <f t="shared" si="46"/>
        <v>55.593183951307431</v>
      </c>
      <c r="U67" s="86">
        <v>0.01</v>
      </c>
      <c r="V67" s="86" t="b">
        <f t="shared" si="30"/>
        <v>1</v>
      </c>
      <c r="W67" s="61" t="b">
        <f t="shared" si="31"/>
        <v>1</v>
      </c>
    </row>
    <row r="68" spans="1:37" s="8" customFormat="1" x14ac:dyDescent="0.25">
      <c r="A68" s="46"/>
      <c r="B68" s="138" t="s">
        <v>250</v>
      </c>
      <c r="C68" s="69" t="s">
        <v>49</v>
      </c>
      <c r="D68" s="57">
        <f>$F$6*$F36*(2/$D36)*1000</f>
        <v>52.5</v>
      </c>
      <c r="E68" s="6">
        <f>2*$L$6*$F36</f>
        <v>1.1200000000000001</v>
      </c>
      <c r="F68" s="6">
        <f t="shared" si="18"/>
        <v>52.511945307710697</v>
      </c>
      <c r="G68" s="6">
        <f>$G$67+F68</f>
        <v>210.15095391712322</v>
      </c>
      <c r="H68" s="104">
        <f>($R$6*$Q$6*$O$6)/G68</f>
        <v>1.8986352075154167</v>
      </c>
      <c r="I68" s="104">
        <f t="shared" si="21"/>
        <v>0.93918811045355532</v>
      </c>
      <c r="J68" s="104">
        <f t="shared" si="40"/>
        <v>75.945408300616663</v>
      </c>
      <c r="K68" s="6">
        <v>0.01</v>
      </c>
      <c r="L68" s="7" t="b">
        <f t="shared" si="41"/>
        <v>1</v>
      </c>
      <c r="M68" s="107" t="b">
        <f t="shared" si="28"/>
        <v>1</v>
      </c>
      <c r="N68" s="74">
        <f t="shared" si="42"/>
        <v>52.5</v>
      </c>
      <c r="O68" s="6">
        <f t="shared" si="43"/>
        <v>1.1200000000000001</v>
      </c>
      <c r="P68" s="6">
        <f t="shared" si="19"/>
        <v>52.511945307710697</v>
      </c>
      <c r="Q68" s="6">
        <f t="shared" si="44"/>
        <v>91.857772506418428</v>
      </c>
      <c r="R68" s="104">
        <f t="shared" si="17"/>
        <v>2.5078199821421148</v>
      </c>
      <c r="S68" s="104">
        <f t="shared" si="45"/>
        <v>0.11705281398352217</v>
      </c>
      <c r="T68" s="104">
        <f t="shared" si="46"/>
        <v>100.31279928568459</v>
      </c>
      <c r="U68" s="84">
        <v>0.01</v>
      </c>
      <c r="V68" s="84" t="b">
        <f t="shared" si="30"/>
        <v>1</v>
      </c>
      <c r="W68" s="143" t="b">
        <f t="shared" si="31"/>
        <v>1</v>
      </c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4"/>
      <c r="AK68" s="44"/>
    </row>
    <row r="69" spans="1:37" x14ac:dyDescent="0.25">
      <c r="A69" s="46"/>
      <c r="B69" s="138" t="s">
        <v>196</v>
      </c>
      <c r="C69" s="139" t="s">
        <v>49</v>
      </c>
      <c r="D69" s="147">
        <f>$F$6*$F37*(2/$D37)*1000</f>
        <v>161.1</v>
      </c>
      <c r="E69" s="148">
        <f>2*$L$6*$F37</f>
        <v>5.7279999999999998</v>
      </c>
      <c r="F69" s="148">
        <f t="shared" si="18"/>
        <v>161.20179894777849</v>
      </c>
      <c r="G69" s="148">
        <f>$G$48+F69</f>
        <v>228.69528964309836</v>
      </c>
      <c r="H69" s="141">
        <f>($R$6*$Q$6*$O$6)/G69</f>
        <v>1.7446795717685266</v>
      </c>
      <c r="I69" s="141">
        <f t="shared" si="21"/>
        <v>0.15641083318510721</v>
      </c>
      <c r="J69" s="141">
        <f t="shared" si="40"/>
        <v>69.787182870741063</v>
      </c>
      <c r="K69" s="148">
        <v>0.01</v>
      </c>
      <c r="L69" s="146" t="b">
        <f t="shared" si="41"/>
        <v>1</v>
      </c>
      <c r="M69" s="152" t="b">
        <f t="shared" si="28"/>
        <v>1</v>
      </c>
      <c r="N69" s="153">
        <f t="shared" ref="N69:N70" si="47">$F$6*$F37*(1/$D37+1/$E37)*1000</f>
        <v>214.79999999999995</v>
      </c>
      <c r="O69" s="148">
        <f t="shared" ref="O69:O70" si="48">2*$L$6*$F37</f>
        <v>5.7279999999999998</v>
      </c>
      <c r="P69" s="148">
        <f t="shared" si="19"/>
        <v>214.87635976067722</v>
      </c>
      <c r="Q69" s="148">
        <f t="shared" si="44"/>
        <v>254.22218695938494</v>
      </c>
      <c r="R69" s="141">
        <f t="shared" si="17"/>
        <v>0.90614733576917861</v>
      </c>
      <c r="S69" s="141">
        <f t="shared" si="45"/>
        <v>0.89655500621764417</v>
      </c>
      <c r="T69" s="141">
        <f t="shared" si="46"/>
        <v>36.245893430767147</v>
      </c>
      <c r="U69" s="84">
        <v>0.01</v>
      </c>
      <c r="V69" s="84" t="b">
        <f t="shared" si="30"/>
        <v>1</v>
      </c>
      <c r="W69" s="143" t="b">
        <f t="shared" si="31"/>
        <v>1</v>
      </c>
    </row>
    <row r="70" spans="1:37" x14ac:dyDescent="0.25">
      <c r="A70" s="46"/>
      <c r="B70" s="45" t="s">
        <v>260</v>
      </c>
      <c r="C70" s="7" t="s">
        <v>49</v>
      </c>
      <c r="D70" s="6">
        <f>$F$6*$F38*(2/$D38)*1000</f>
        <v>0.64285714285714279</v>
      </c>
      <c r="E70" s="6">
        <f>2*$L$6*$F38</f>
        <v>0.16</v>
      </c>
      <c r="F70" s="6">
        <f t="shared" si="18"/>
        <v>0.66246909823964539</v>
      </c>
      <c r="G70" s="6">
        <f>$G$48+F70</f>
        <v>68.155959793559504</v>
      </c>
      <c r="H70" s="104">
        <f>($R$6*$Q$6*$O$6)/G70</f>
        <v>5.8542202502693552</v>
      </c>
      <c r="I70" s="6">
        <f t="shared" si="21"/>
        <v>3.858847052620127E-2</v>
      </c>
      <c r="J70" s="104">
        <f t="shared" si="40"/>
        <v>73.177753128366945</v>
      </c>
      <c r="K70" s="6">
        <v>0.01</v>
      </c>
      <c r="L70" s="7" t="b">
        <f t="shared" si="41"/>
        <v>1</v>
      </c>
      <c r="M70" s="7" t="b">
        <f t="shared" si="28"/>
        <v>1</v>
      </c>
      <c r="N70" s="6">
        <f t="shared" si="47"/>
        <v>0.9642857142857143</v>
      </c>
      <c r="O70" s="6">
        <f t="shared" si="48"/>
        <v>0.16</v>
      </c>
      <c r="P70" s="6">
        <f t="shared" si="19"/>
        <v>0.97746966130694324</v>
      </c>
      <c r="Q70" s="6">
        <f t="shared" si="44"/>
        <v>40.323296860014672</v>
      </c>
      <c r="R70" s="104">
        <f t="shared" si="17"/>
        <v>5.7128949105124551</v>
      </c>
      <c r="S70" s="104">
        <f t="shared" si="45"/>
        <v>0.76753058971133681</v>
      </c>
      <c r="T70" s="104">
        <f t="shared" si="46"/>
        <v>71.411186381405685</v>
      </c>
      <c r="U70" s="136">
        <v>0.01</v>
      </c>
      <c r="V70" s="136" t="b">
        <f t="shared" si="30"/>
        <v>1</v>
      </c>
      <c r="W70" s="136" t="b">
        <f t="shared" si="31"/>
        <v>1</v>
      </c>
    </row>
    <row r="71" spans="1:37" x14ac:dyDescent="0.25">
      <c r="A71" s="46"/>
      <c r="B71" s="144"/>
      <c r="C71" s="46"/>
      <c r="G71" s="46"/>
    </row>
    <row r="72" spans="1:37" x14ac:dyDescent="0.25">
      <c r="A72" s="46"/>
      <c r="B72" s="144"/>
      <c r="C72" s="46"/>
      <c r="G72" s="46"/>
      <c r="U72" s="181" t="s">
        <v>263</v>
      </c>
      <c r="V72" s="181"/>
      <c r="W72" s="181"/>
    </row>
    <row r="73" spans="1:37" x14ac:dyDescent="0.25">
      <c r="A73" s="46"/>
      <c r="B73" s="144"/>
      <c r="C73" s="46"/>
      <c r="G73" s="46"/>
      <c r="U73" s="181"/>
      <c r="V73" s="181"/>
      <c r="W73" s="181"/>
    </row>
    <row r="74" spans="1:37" x14ac:dyDescent="0.25">
      <c r="B74" s="144"/>
    </row>
    <row r="75" spans="1:37" x14ac:dyDescent="0.25">
      <c r="B75" s="144"/>
    </row>
    <row r="76" spans="1:37" x14ac:dyDescent="0.25">
      <c r="B76" s="144"/>
    </row>
    <row r="77" spans="1:37" x14ac:dyDescent="0.25">
      <c r="B77" s="90"/>
    </row>
    <row r="78" spans="1:37" x14ac:dyDescent="0.25">
      <c r="B78" s="144"/>
    </row>
    <row r="79" spans="1:37" x14ac:dyDescent="0.25">
      <c r="B79" s="144"/>
    </row>
    <row r="80" spans="1:37" x14ac:dyDescent="0.25">
      <c r="B80" s="144"/>
    </row>
    <row r="81" spans="2:2" x14ac:dyDescent="0.25">
      <c r="B81" s="144"/>
    </row>
    <row r="82" spans="2:2" x14ac:dyDescent="0.25">
      <c r="B82" s="90"/>
    </row>
    <row r="83" spans="2:2" x14ac:dyDescent="0.25">
      <c r="B83" s="90"/>
    </row>
    <row r="84" spans="2:2" x14ac:dyDescent="0.25">
      <c r="B84" s="90"/>
    </row>
  </sheetData>
  <mergeCells count="13">
    <mergeCell ref="U72:W73"/>
    <mergeCell ref="F5:I5"/>
    <mergeCell ref="D3:E3"/>
    <mergeCell ref="F3:L3"/>
    <mergeCell ref="O3:R3"/>
    <mergeCell ref="H9:T9"/>
    <mergeCell ref="N42:W42"/>
    <mergeCell ref="U9:V9"/>
    <mergeCell ref="B44:B45"/>
    <mergeCell ref="B46:B48"/>
    <mergeCell ref="B11:B12"/>
    <mergeCell ref="B13:B15"/>
    <mergeCell ref="D42:M42"/>
  </mergeCells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1:M16"/>
  <sheetViews>
    <sheetView zoomScale="73" zoomScaleNormal="73" workbookViewId="0">
      <selection activeCell="K6" sqref="K6"/>
    </sheetView>
  </sheetViews>
  <sheetFormatPr defaultRowHeight="15" x14ac:dyDescent="0.25"/>
  <cols>
    <col min="4" max="4" width="4.85546875" bestFit="1" customWidth="1"/>
    <col min="6" max="6" width="26.42578125" bestFit="1" customWidth="1"/>
    <col min="7" max="7" width="26.140625" bestFit="1" customWidth="1"/>
    <col min="8" max="8" width="20.42578125" bestFit="1" customWidth="1"/>
    <col min="9" max="9" width="32.140625" bestFit="1" customWidth="1"/>
    <col min="10" max="10" width="18.5703125" bestFit="1" customWidth="1"/>
    <col min="11" max="11" width="28.140625" bestFit="1" customWidth="1"/>
    <col min="12" max="12" width="24.85546875" bestFit="1" customWidth="1"/>
    <col min="13" max="13" width="28.140625" bestFit="1" customWidth="1"/>
    <col min="14" max="14" width="10" bestFit="1" customWidth="1"/>
    <col min="15" max="15" width="25" bestFit="1" customWidth="1"/>
    <col min="16" max="16" width="18" bestFit="1" customWidth="1"/>
    <col min="17" max="17" width="27.28515625" bestFit="1" customWidth="1"/>
  </cols>
  <sheetData>
    <row r="1" spans="3:13" x14ac:dyDescent="0.25"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3:13" x14ac:dyDescent="0.25">
      <c r="C2" s="3" t="s">
        <v>51</v>
      </c>
      <c r="D2" s="3" t="s">
        <v>50</v>
      </c>
      <c r="E2" s="3" t="s">
        <v>52</v>
      </c>
      <c r="F2" s="3" t="s">
        <v>70</v>
      </c>
      <c r="G2" s="3" t="s">
        <v>53</v>
      </c>
      <c r="H2" s="3" t="s">
        <v>54</v>
      </c>
      <c r="I2" s="3" t="s">
        <v>55</v>
      </c>
      <c r="J2" s="3" t="s">
        <v>222</v>
      </c>
      <c r="K2" s="3" t="s">
        <v>56</v>
      </c>
      <c r="L2" s="3" t="s">
        <v>57</v>
      </c>
    </row>
    <row r="3" spans="3:13" x14ac:dyDescent="0.25">
      <c r="C3" s="12" t="s">
        <v>220</v>
      </c>
      <c r="D3" s="12">
        <f>'Sobrecarga e Queda de Tensão'!H4</f>
        <v>213.66059542574865</v>
      </c>
      <c r="E3" s="13">
        <f>'Curto-Circuito2'!P13</f>
        <v>7.8030375122988289</v>
      </c>
      <c r="F3" s="12">
        <v>40</v>
      </c>
      <c r="G3" s="12">
        <v>0.87</v>
      </c>
      <c r="H3" s="12">
        <v>54</v>
      </c>
      <c r="I3" s="14">
        <f>D3/G3</f>
        <v>245.58689129396396</v>
      </c>
      <c r="J3" s="14" t="s">
        <v>223</v>
      </c>
      <c r="K3" s="12" t="s">
        <v>255</v>
      </c>
      <c r="L3" s="12">
        <v>825</v>
      </c>
    </row>
    <row r="4" spans="3:13" x14ac:dyDescent="0.25">
      <c r="C4" s="12" t="s">
        <v>58</v>
      </c>
      <c r="D4" s="12">
        <f>'Sobrecarga e Queda de Tensão'!H5</f>
        <v>106.93088883917866</v>
      </c>
      <c r="E4" s="13">
        <f>'Curto-Circuito2'!P18</f>
        <v>6.5316208743979809</v>
      </c>
      <c r="F4" s="12">
        <v>40</v>
      </c>
      <c r="G4" s="12">
        <v>0.87</v>
      </c>
      <c r="H4" s="12">
        <v>54</v>
      </c>
      <c r="I4" s="14">
        <f>D4/G4</f>
        <v>122.90906763123985</v>
      </c>
      <c r="J4" s="14" t="s">
        <v>223</v>
      </c>
      <c r="K4" s="12" t="s">
        <v>256</v>
      </c>
      <c r="L4" s="12">
        <v>600</v>
      </c>
    </row>
    <row r="5" spans="3:13" x14ac:dyDescent="0.25">
      <c r="C5" s="12" t="s">
        <v>59</v>
      </c>
      <c r="D5" s="12">
        <f>'Sobrecarga e Queda de Tensão'!H6</f>
        <v>11.090969654095517</v>
      </c>
      <c r="E5" s="13">
        <f>'Curto-Circuito2'!P26</f>
        <v>2.9913251319785541</v>
      </c>
      <c r="F5" s="12">
        <v>40</v>
      </c>
      <c r="G5" s="12">
        <v>0.87</v>
      </c>
      <c r="H5" s="12">
        <v>54</v>
      </c>
      <c r="I5" s="14">
        <f t="shared" ref="I5:I15" si="0">D5/G5</f>
        <v>12.748240981718984</v>
      </c>
      <c r="J5" s="14" t="s">
        <v>223</v>
      </c>
      <c r="K5" s="12" t="s">
        <v>221</v>
      </c>
      <c r="L5" s="12">
        <v>110</v>
      </c>
    </row>
    <row r="6" spans="3:13" x14ac:dyDescent="0.25">
      <c r="C6" s="12" t="s">
        <v>60</v>
      </c>
      <c r="D6" s="12">
        <f>'Sobrecarga e Queda de Tensão'!H7</f>
        <v>9.0509696540955176</v>
      </c>
      <c r="E6" s="13">
        <f>'Curto-Circuito2'!P27</f>
        <v>3.2990297890943472</v>
      </c>
      <c r="F6" s="12">
        <v>40</v>
      </c>
      <c r="G6" s="12">
        <v>0.87</v>
      </c>
      <c r="H6" s="12">
        <v>54</v>
      </c>
      <c r="I6" s="14">
        <f t="shared" si="0"/>
        <v>10.403413395512089</v>
      </c>
      <c r="J6" s="14" t="s">
        <v>223</v>
      </c>
      <c r="K6" s="12" t="s">
        <v>221</v>
      </c>
      <c r="L6" s="12">
        <v>110</v>
      </c>
    </row>
    <row r="7" spans="3:13" x14ac:dyDescent="0.25">
      <c r="C7" s="12" t="s">
        <v>61</v>
      </c>
      <c r="D7" s="12">
        <f>'Sobrecarga e Queda de Tensão'!H8</f>
        <v>9.0509696540955176</v>
      </c>
      <c r="E7" s="13">
        <f>'Curto-Circuito2'!P28</f>
        <v>4.0732678410130747</v>
      </c>
      <c r="F7" s="12">
        <v>40</v>
      </c>
      <c r="G7" s="12">
        <v>0.87</v>
      </c>
      <c r="H7" s="12">
        <v>54</v>
      </c>
      <c r="I7" s="14">
        <f t="shared" si="0"/>
        <v>10.403413395512089</v>
      </c>
      <c r="J7" s="14" t="s">
        <v>223</v>
      </c>
      <c r="K7" s="12" t="s">
        <v>221</v>
      </c>
      <c r="L7" s="12">
        <v>110</v>
      </c>
    </row>
    <row r="8" spans="3:13" x14ac:dyDescent="0.25">
      <c r="C8" s="12" t="s">
        <v>62</v>
      </c>
      <c r="D8" s="12">
        <f>'Sobrecarga e Queda de Tensão'!H9</f>
        <v>9.0509696540955176</v>
      </c>
      <c r="E8" s="13">
        <f>'Curto-Circuito2'!P29</f>
        <v>4.695566032571298</v>
      </c>
      <c r="F8" s="12">
        <v>40</v>
      </c>
      <c r="G8" s="12">
        <v>0.87</v>
      </c>
      <c r="H8" s="12">
        <v>54</v>
      </c>
      <c r="I8" s="14">
        <f t="shared" si="0"/>
        <v>10.403413395512089</v>
      </c>
      <c r="J8" s="14" t="s">
        <v>223</v>
      </c>
      <c r="K8" s="12" t="s">
        <v>221</v>
      </c>
      <c r="L8" s="12">
        <v>110</v>
      </c>
    </row>
    <row r="9" spans="3:13" x14ac:dyDescent="0.25">
      <c r="C9" s="12" t="s">
        <v>63</v>
      </c>
      <c r="D9" s="12">
        <f>'Sobrecarga e Queda de Tensão'!H10</f>
        <v>37.438009523618398</v>
      </c>
      <c r="E9" s="13">
        <f>'Curto-Circuito2'!P30</f>
        <v>7.1186964084820348</v>
      </c>
      <c r="F9" s="12">
        <v>40</v>
      </c>
      <c r="G9" s="12">
        <v>0.87</v>
      </c>
      <c r="H9" s="12">
        <v>54</v>
      </c>
      <c r="I9" s="14">
        <f t="shared" si="0"/>
        <v>43.032194854733788</v>
      </c>
      <c r="J9" s="14" t="s">
        <v>223</v>
      </c>
      <c r="K9" s="12" t="s">
        <v>221</v>
      </c>
      <c r="L9" s="12">
        <v>110</v>
      </c>
    </row>
    <row r="10" spans="3:13" x14ac:dyDescent="0.25">
      <c r="C10" s="12" t="s">
        <v>64</v>
      </c>
      <c r="D10" s="12">
        <f>'Sobrecarga e Queda de Tensão'!H11</f>
        <v>49.523735198688101</v>
      </c>
      <c r="E10" s="13">
        <f>'Curto-Circuito2'!P31</f>
        <v>7.4725212779020165</v>
      </c>
      <c r="F10" s="12">
        <v>40</v>
      </c>
      <c r="G10" s="12">
        <v>0.87</v>
      </c>
      <c r="H10" s="12">
        <v>54</v>
      </c>
      <c r="I10" s="14">
        <f t="shared" si="0"/>
        <v>56.92383356171046</v>
      </c>
      <c r="J10" s="14" t="s">
        <v>223</v>
      </c>
      <c r="K10" s="12" t="s">
        <v>221</v>
      </c>
      <c r="L10" s="12">
        <v>110</v>
      </c>
    </row>
    <row r="11" spans="3:13" x14ac:dyDescent="0.25">
      <c r="C11" s="12" t="s">
        <v>65</v>
      </c>
      <c r="D11" s="12">
        <f>'Sobrecarga e Queda de Tensão'!H12</f>
        <v>10.644456397058885</v>
      </c>
      <c r="E11" s="13">
        <f>'Curto-Circuito2'!P32</f>
        <v>5.361034605875644</v>
      </c>
      <c r="F11" s="12">
        <v>40</v>
      </c>
      <c r="G11" s="12">
        <v>0.87</v>
      </c>
      <c r="H11" s="12">
        <v>54</v>
      </c>
      <c r="I11" s="14">
        <f>D11/G11</f>
        <v>12.235007352941247</v>
      </c>
      <c r="J11" s="14" t="s">
        <v>223</v>
      </c>
      <c r="K11" s="12" t="s">
        <v>221</v>
      </c>
      <c r="L11" s="12">
        <v>110</v>
      </c>
    </row>
    <row r="12" spans="3:13" x14ac:dyDescent="0.25">
      <c r="C12" s="12" t="s">
        <v>66</v>
      </c>
      <c r="D12" s="12">
        <f>'Sobrecarga e Queda de Tensão'!H13</f>
        <v>30.078863597802457</v>
      </c>
      <c r="E12" s="13">
        <f>'Curto-Circuito2'!P33</f>
        <v>5.338872083305346</v>
      </c>
      <c r="F12" s="12">
        <v>40</v>
      </c>
      <c r="G12" s="12">
        <v>0.87</v>
      </c>
      <c r="H12" s="12">
        <v>54</v>
      </c>
      <c r="I12" s="14">
        <f t="shared" si="0"/>
        <v>34.573406434255695</v>
      </c>
      <c r="J12" s="14" t="s">
        <v>223</v>
      </c>
      <c r="K12" s="12" t="s">
        <v>221</v>
      </c>
      <c r="L12" s="12">
        <v>110</v>
      </c>
    </row>
    <row r="13" spans="3:13" x14ac:dyDescent="0.25">
      <c r="C13" s="12" t="s">
        <v>67</v>
      </c>
      <c r="D13" s="12">
        <f>'Sobrecarga e Queda de Tensão'!H14</f>
        <v>30.078863597802457</v>
      </c>
      <c r="E13" s="13">
        <f>'Curto-Circuito2'!P34</f>
        <v>4.7761848857833833</v>
      </c>
      <c r="F13" s="12">
        <v>40</v>
      </c>
      <c r="G13" s="12">
        <v>0.87</v>
      </c>
      <c r="H13" s="12">
        <v>54</v>
      </c>
      <c r="I13" s="14">
        <f t="shared" si="0"/>
        <v>34.573406434255695</v>
      </c>
      <c r="J13" s="14" t="s">
        <v>223</v>
      </c>
      <c r="K13" s="12" t="s">
        <v>221</v>
      </c>
      <c r="L13" s="12">
        <v>110</v>
      </c>
    </row>
    <row r="14" spans="3:13" x14ac:dyDescent="0.25">
      <c r="C14" s="12" t="s">
        <v>68</v>
      </c>
      <c r="D14" s="12">
        <f>'Sobrecarga e Queda de Tensão'!H15</f>
        <v>27.984696137119961</v>
      </c>
      <c r="E14" s="13">
        <f>'Curto-Circuito2'!P35</f>
        <v>3.7680754194418662</v>
      </c>
      <c r="F14" s="12">
        <v>40</v>
      </c>
      <c r="G14" s="12">
        <v>0.87</v>
      </c>
      <c r="H14" s="12">
        <v>54</v>
      </c>
      <c r="I14" s="14">
        <f t="shared" si="0"/>
        <v>32.166317398988461</v>
      </c>
      <c r="J14" s="14" t="s">
        <v>223</v>
      </c>
      <c r="K14" s="12" t="s">
        <v>221</v>
      </c>
      <c r="L14" s="12">
        <v>110</v>
      </c>
    </row>
    <row r="15" spans="3:13" x14ac:dyDescent="0.25">
      <c r="C15" s="15" t="s">
        <v>69</v>
      </c>
      <c r="D15" s="12">
        <f>'Sobrecarga e Queda de Tensão'!H16</f>
        <v>6.0980244284472773</v>
      </c>
      <c r="E15" s="13">
        <f>'Curto-Circuito2'!P37</f>
        <v>2.6863019451855186</v>
      </c>
      <c r="F15" s="12">
        <v>40</v>
      </c>
      <c r="G15" s="12">
        <v>0.87</v>
      </c>
      <c r="H15" s="12">
        <v>54</v>
      </c>
      <c r="I15" s="14">
        <f t="shared" si="0"/>
        <v>7.0092234809738816</v>
      </c>
      <c r="J15" s="14" t="s">
        <v>223</v>
      </c>
      <c r="K15" s="12" t="s">
        <v>221</v>
      </c>
      <c r="L15" s="12">
        <v>110</v>
      </c>
    </row>
    <row r="16" spans="3:13" x14ac:dyDescent="0.25">
      <c r="J1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E17" sqref="E17"/>
    </sheetView>
  </sheetViews>
  <sheetFormatPr defaultRowHeight="15" x14ac:dyDescent="0.25"/>
  <sheetData>
    <row r="1" spans="1:15" ht="20.25" thickBot="1" x14ac:dyDescent="0.35">
      <c r="A1" s="191" t="s">
        <v>266</v>
      </c>
      <c r="B1" s="192" t="s">
        <v>267</v>
      </c>
      <c r="C1" s="191" t="s">
        <v>268</v>
      </c>
      <c r="D1" s="191" t="s">
        <v>269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thickTop="1" x14ac:dyDescent="0.25">
      <c r="A2" s="193" t="s">
        <v>270</v>
      </c>
      <c r="B2" s="194">
        <v>574.99694774450279</v>
      </c>
      <c r="C2" s="195">
        <v>20</v>
      </c>
      <c r="D2" s="196">
        <v>14</v>
      </c>
      <c r="E2" s="8"/>
      <c r="F2" s="197" t="s">
        <v>271</v>
      </c>
      <c r="G2" s="44">
        <f>SUMPRODUCT(C2:C13,B2:B13^2)</f>
        <v>6411558.5960315252</v>
      </c>
      <c r="H2" s="53" t="s">
        <v>272</v>
      </c>
      <c r="I2" s="8"/>
      <c r="J2" s="8"/>
      <c r="K2" s="8"/>
      <c r="L2" s="8"/>
      <c r="M2" s="8"/>
      <c r="N2" s="8"/>
      <c r="O2" s="8"/>
    </row>
    <row r="3" spans="1:15" x14ac:dyDescent="0.25">
      <c r="A3" s="193" t="s">
        <v>273</v>
      </c>
      <c r="B3" s="194">
        <v>13.113843876330611</v>
      </c>
      <c r="C3" s="195">
        <v>14</v>
      </c>
      <c r="D3" s="196">
        <v>17</v>
      </c>
      <c r="E3" s="8"/>
      <c r="F3" s="198"/>
      <c r="G3" s="44"/>
      <c r="H3" s="44"/>
      <c r="I3" s="8"/>
      <c r="J3" s="8"/>
      <c r="K3" s="8"/>
      <c r="L3" s="8"/>
      <c r="M3" s="8"/>
      <c r="N3" s="8"/>
      <c r="O3" s="8"/>
    </row>
    <row r="4" spans="1:15" x14ac:dyDescent="0.25">
      <c r="A4" s="193" t="s">
        <v>274</v>
      </c>
      <c r="B4" s="194">
        <v>13.113843876330611</v>
      </c>
      <c r="C4" s="195">
        <v>7</v>
      </c>
      <c r="D4" s="196">
        <v>17</v>
      </c>
      <c r="E4" s="8"/>
      <c r="F4" s="198"/>
      <c r="G4" s="44"/>
      <c r="H4" s="44"/>
      <c r="I4" s="8"/>
      <c r="J4" s="8"/>
      <c r="K4" s="8"/>
      <c r="L4" s="8"/>
      <c r="M4" s="8"/>
      <c r="N4" s="8"/>
      <c r="O4" s="8"/>
    </row>
    <row r="5" spans="1:15" ht="17.25" x14ac:dyDescent="0.25">
      <c r="A5" s="193" t="s">
        <v>275</v>
      </c>
      <c r="B5" s="194">
        <v>13.113843876330611</v>
      </c>
      <c r="C5" s="195">
        <v>1</v>
      </c>
      <c r="D5" s="196">
        <v>17</v>
      </c>
      <c r="E5" s="8"/>
      <c r="F5" s="197" t="s">
        <v>271</v>
      </c>
      <c r="G5" s="44">
        <f>SUMPRODUCT(D2:D13,B2:B13^2)</f>
        <v>4686992.8550908621</v>
      </c>
      <c r="H5" s="53" t="s">
        <v>272</v>
      </c>
      <c r="I5" s="8"/>
      <c r="J5" s="199"/>
      <c r="K5" s="8"/>
      <c r="L5" s="8"/>
      <c r="M5" s="8"/>
      <c r="N5" s="8"/>
      <c r="O5" s="8"/>
    </row>
    <row r="6" spans="1:15" x14ac:dyDescent="0.25">
      <c r="A6" s="193" t="s">
        <v>276</v>
      </c>
      <c r="B6" s="194">
        <v>13.113843876330611</v>
      </c>
      <c r="C6" s="195">
        <v>-6</v>
      </c>
      <c r="D6" s="196">
        <v>17</v>
      </c>
      <c r="E6" s="8"/>
      <c r="F6" s="198"/>
      <c r="G6" s="44"/>
      <c r="H6" s="44"/>
      <c r="I6" s="8"/>
      <c r="J6" s="8"/>
      <c r="K6" s="8"/>
      <c r="L6" s="8"/>
      <c r="M6" s="8"/>
      <c r="N6" s="8"/>
      <c r="O6" s="8"/>
    </row>
    <row r="7" spans="1:15" x14ac:dyDescent="0.25">
      <c r="A7" s="193" t="s">
        <v>277</v>
      </c>
      <c r="B7" s="194">
        <v>51.866512961894117</v>
      </c>
      <c r="C7" s="195">
        <v>-13</v>
      </c>
      <c r="D7" s="196">
        <v>17</v>
      </c>
      <c r="E7" s="8"/>
      <c r="F7" s="198"/>
      <c r="G7" s="44"/>
      <c r="H7" s="44"/>
      <c r="I7" s="8"/>
      <c r="J7" s="8"/>
      <c r="K7" s="8"/>
      <c r="L7" s="8"/>
      <c r="M7" s="8"/>
      <c r="N7" s="8"/>
      <c r="O7" s="8"/>
    </row>
    <row r="8" spans="1:15" x14ac:dyDescent="0.25">
      <c r="A8" s="193" t="s">
        <v>278</v>
      </c>
      <c r="B8" s="194">
        <v>79.669945111331913</v>
      </c>
      <c r="C8" s="195">
        <v>-14</v>
      </c>
      <c r="D8" s="196">
        <v>6</v>
      </c>
      <c r="E8" s="8"/>
      <c r="F8" s="197" t="s">
        <v>271</v>
      </c>
      <c r="G8" s="199">
        <f>SUMSQ(B2:B13)</f>
        <v>345700.46537961892</v>
      </c>
      <c r="H8" s="53" t="s">
        <v>279</v>
      </c>
      <c r="I8" s="8"/>
      <c r="J8" s="8"/>
      <c r="K8" s="90"/>
      <c r="L8" s="90"/>
      <c r="M8" s="90"/>
      <c r="N8" s="90"/>
      <c r="O8" s="90"/>
    </row>
    <row r="9" spans="1:15" x14ac:dyDescent="0.25">
      <c r="A9" s="193" t="s">
        <v>280</v>
      </c>
      <c r="B9" s="194">
        <v>15.885125168440817</v>
      </c>
      <c r="C9" s="195">
        <v>-14</v>
      </c>
      <c r="D9" s="196">
        <v>0.5</v>
      </c>
      <c r="E9" s="8"/>
      <c r="F9" s="8"/>
      <c r="G9" s="8"/>
      <c r="H9" s="200"/>
      <c r="I9" s="8"/>
      <c r="J9" s="200"/>
      <c r="K9" s="8"/>
      <c r="L9" s="8"/>
      <c r="M9" s="8"/>
      <c r="N9" s="8"/>
      <c r="O9" s="8"/>
    </row>
    <row r="10" spans="1:15" x14ac:dyDescent="0.25">
      <c r="A10" s="193" t="s">
        <v>281</v>
      </c>
      <c r="B10" s="194">
        <v>49.684094213212241</v>
      </c>
      <c r="C10" s="195">
        <v>-15</v>
      </c>
      <c r="D10" s="196">
        <v>-5</v>
      </c>
      <c r="E10" s="8"/>
      <c r="F10" s="8"/>
      <c r="G10" s="8"/>
      <c r="H10" s="8"/>
      <c r="I10" s="90"/>
      <c r="J10" s="90"/>
      <c r="K10" s="90"/>
      <c r="L10" s="90"/>
      <c r="M10" s="90"/>
      <c r="N10" s="90"/>
      <c r="O10" s="90"/>
    </row>
    <row r="11" spans="1:15" x14ac:dyDescent="0.25">
      <c r="A11" s="193" t="s">
        <v>282</v>
      </c>
      <c r="B11" s="194">
        <v>49.684094213212241</v>
      </c>
      <c r="C11" s="195">
        <v>-15</v>
      </c>
      <c r="D11" s="196">
        <v>-9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.75" x14ac:dyDescent="0.25">
      <c r="A12" s="193" t="s">
        <v>283</v>
      </c>
      <c r="B12" s="194">
        <v>7.5712812921102044</v>
      </c>
      <c r="C12" s="195">
        <v>-16</v>
      </c>
      <c r="D12" s="196">
        <v>-15</v>
      </c>
      <c r="E12" s="8"/>
      <c r="F12" s="8"/>
      <c r="G12" s="8"/>
      <c r="H12" s="8"/>
      <c r="I12" s="8"/>
      <c r="J12" s="8"/>
      <c r="K12" s="201" t="s">
        <v>271</v>
      </c>
      <c r="L12" s="202">
        <f>G2/G8</f>
        <v>18.546572070682334</v>
      </c>
      <c r="M12" s="203" t="s">
        <v>284</v>
      </c>
      <c r="N12" s="202">
        <f>G5/G8</f>
        <v>13.557959344787124</v>
      </c>
      <c r="O12" s="204" t="s">
        <v>285</v>
      </c>
    </row>
    <row r="13" spans="1:15" x14ac:dyDescent="0.25">
      <c r="A13" s="193" t="s">
        <v>286</v>
      </c>
      <c r="B13" s="194">
        <v>10.342562584220408</v>
      </c>
      <c r="C13" s="195">
        <v>-12</v>
      </c>
      <c r="D13" s="196">
        <v>-18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90"/>
      <c r="L14" s="90"/>
      <c r="M14" s="90"/>
      <c r="N14" s="90"/>
      <c r="O14" s="9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opLeftCell="A4" workbookViewId="0">
      <selection activeCell="C18" sqref="C18"/>
    </sheetView>
  </sheetViews>
  <sheetFormatPr defaultRowHeight="15" x14ac:dyDescent="0.25"/>
  <sheetData>
    <row r="1" spans="1:15" ht="20.25" thickBot="1" x14ac:dyDescent="0.35">
      <c r="A1" s="191" t="s">
        <v>266</v>
      </c>
      <c r="B1" s="192" t="s">
        <v>267</v>
      </c>
      <c r="C1" s="191" t="s">
        <v>268</v>
      </c>
      <c r="D1" s="191" t="s">
        <v>269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thickTop="1" x14ac:dyDescent="0.25">
      <c r="A2" s="193" t="s">
        <v>9</v>
      </c>
      <c r="B2" s="205">
        <v>31.999999999999996</v>
      </c>
      <c r="C2" s="195">
        <v>0</v>
      </c>
      <c r="D2" s="196">
        <v>0</v>
      </c>
      <c r="E2" s="8"/>
      <c r="F2" s="197" t="s">
        <v>271</v>
      </c>
      <c r="G2" s="44">
        <f>SUMPRODUCT(C2:C10,B2:B10^2)</f>
        <v>-235124.40622675221</v>
      </c>
      <c r="H2" s="53" t="s">
        <v>272</v>
      </c>
      <c r="I2" s="8"/>
      <c r="J2" s="8"/>
      <c r="K2" s="8"/>
      <c r="L2" s="8"/>
      <c r="M2" s="8"/>
      <c r="N2" s="8"/>
      <c r="O2" s="8"/>
    </row>
    <row r="3" spans="1:15" x14ac:dyDescent="0.25">
      <c r="A3" s="193" t="s">
        <v>4</v>
      </c>
      <c r="B3" s="205">
        <v>556.52173913043475</v>
      </c>
      <c r="C3" s="195">
        <v>0</v>
      </c>
      <c r="D3" s="196">
        <v>0</v>
      </c>
      <c r="E3" s="8"/>
      <c r="F3" s="198"/>
      <c r="G3" s="44"/>
      <c r="H3" s="44"/>
      <c r="I3" s="8"/>
      <c r="J3" s="8"/>
      <c r="K3" s="8"/>
      <c r="L3" s="8"/>
      <c r="M3" s="8"/>
      <c r="N3" s="8"/>
      <c r="O3" s="8"/>
    </row>
    <row r="4" spans="1:15" x14ac:dyDescent="0.25">
      <c r="A4" s="193" t="s">
        <v>5</v>
      </c>
      <c r="B4" s="205">
        <v>2.3345305608426941</v>
      </c>
      <c r="C4" s="195">
        <v>0</v>
      </c>
      <c r="D4" s="196">
        <v>0</v>
      </c>
      <c r="E4" s="8"/>
      <c r="F4" s="198"/>
      <c r="G4" s="44"/>
      <c r="H4" s="44"/>
      <c r="I4" s="8"/>
      <c r="J4" s="8"/>
      <c r="K4" s="8"/>
      <c r="L4" s="8"/>
      <c r="M4" s="8"/>
      <c r="N4" s="8"/>
      <c r="O4" s="8"/>
    </row>
    <row r="5" spans="1:15" ht="17.25" x14ac:dyDescent="0.25">
      <c r="A5" s="193" t="s">
        <v>11</v>
      </c>
      <c r="B5" s="205">
        <v>0.65607072328435045</v>
      </c>
      <c r="C5" s="195">
        <v>2</v>
      </c>
      <c r="D5" s="196">
        <v>2</v>
      </c>
      <c r="E5" s="8"/>
      <c r="F5" s="197" t="s">
        <v>271</v>
      </c>
      <c r="G5" s="44">
        <f>SUMPRODUCT(D2:D10,B2:B10^2)</f>
        <v>188225.39814206414</v>
      </c>
      <c r="H5" s="53" t="s">
        <v>272</v>
      </c>
      <c r="I5" s="8"/>
      <c r="J5" s="199"/>
      <c r="K5" s="8"/>
      <c r="L5" s="8"/>
      <c r="M5" s="8"/>
      <c r="N5" s="8"/>
      <c r="O5" s="8"/>
    </row>
    <row r="6" spans="1:15" x14ac:dyDescent="0.25">
      <c r="A6" s="193" t="s">
        <v>12</v>
      </c>
      <c r="B6" s="205">
        <v>2.6242828931374018</v>
      </c>
      <c r="C6" s="195">
        <v>-3</v>
      </c>
      <c r="D6" s="196">
        <v>-6</v>
      </c>
      <c r="E6" s="8"/>
      <c r="F6" s="198"/>
      <c r="G6" s="44"/>
      <c r="H6" s="44"/>
      <c r="I6" s="8"/>
      <c r="J6" s="8"/>
      <c r="K6" s="8"/>
      <c r="L6" s="8"/>
      <c r="M6" s="8"/>
      <c r="N6" s="8"/>
      <c r="O6" s="8"/>
    </row>
    <row r="7" spans="1:15" x14ac:dyDescent="0.25">
      <c r="A7" s="193" t="s">
        <v>13</v>
      </c>
      <c r="B7" s="205">
        <v>4.8798648839331857</v>
      </c>
      <c r="C7" s="195">
        <v>3</v>
      </c>
      <c r="D7" s="196">
        <v>6</v>
      </c>
      <c r="E7" s="8"/>
      <c r="F7" s="198"/>
      <c r="G7" s="44"/>
      <c r="H7" s="44"/>
      <c r="I7" s="8"/>
      <c r="J7" s="8"/>
      <c r="K7" s="8"/>
      <c r="L7" s="8"/>
      <c r="M7" s="8"/>
      <c r="N7" s="8"/>
      <c r="O7" s="8"/>
    </row>
    <row r="8" spans="1:15" x14ac:dyDescent="0.25">
      <c r="A8" s="193" t="s">
        <v>14</v>
      </c>
      <c r="B8" s="205">
        <v>2.6242828931374018</v>
      </c>
      <c r="C8" s="195">
        <v>3</v>
      </c>
      <c r="D8" s="196">
        <v>-6</v>
      </c>
      <c r="E8" s="8"/>
      <c r="F8" s="197" t="s">
        <v>271</v>
      </c>
      <c r="G8" s="199">
        <f>SUMSQ(B2:B10)</f>
        <v>357824.02532845555</v>
      </c>
      <c r="H8" s="53" t="s">
        <v>279</v>
      </c>
      <c r="I8" s="8"/>
      <c r="J8" s="8"/>
      <c r="K8" s="90"/>
      <c r="L8" s="90"/>
      <c r="M8" s="90"/>
      <c r="N8" s="90"/>
      <c r="O8" s="90"/>
    </row>
    <row r="9" spans="1:15" x14ac:dyDescent="0.25">
      <c r="A9" s="193" t="s">
        <v>15</v>
      </c>
      <c r="B9" s="205">
        <v>1.3880504558743285</v>
      </c>
      <c r="C9" s="195">
        <v>-3</v>
      </c>
      <c r="D9" s="196">
        <v>6</v>
      </c>
      <c r="E9" s="8"/>
      <c r="F9" s="8"/>
      <c r="G9" s="8"/>
      <c r="H9" s="200"/>
      <c r="I9" s="8"/>
      <c r="J9" s="200"/>
      <c r="K9" s="8"/>
      <c r="L9" s="8"/>
      <c r="M9" s="8"/>
      <c r="N9" s="8"/>
      <c r="O9" s="8"/>
    </row>
    <row r="10" spans="1:15" x14ac:dyDescent="0.25">
      <c r="A10" s="193" t="s">
        <v>16</v>
      </c>
      <c r="B10" s="205">
        <v>216.88288373036369</v>
      </c>
      <c r="C10" s="195">
        <v>-5</v>
      </c>
      <c r="D10" s="196">
        <v>4</v>
      </c>
      <c r="E10" s="8"/>
      <c r="F10" s="8"/>
      <c r="G10" s="8"/>
      <c r="H10" s="8"/>
      <c r="I10" s="90"/>
      <c r="J10" s="90"/>
      <c r="K10" s="90"/>
      <c r="L10" s="90"/>
      <c r="M10" s="90"/>
      <c r="N10" s="90"/>
      <c r="O10" s="90"/>
    </row>
    <row r="11" spans="1:1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.7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201" t="s">
        <v>271</v>
      </c>
      <c r="L12" s="202">
        <f>G2/G8</f>
        <v>-0.65709507909907861</v>
      </c>
      <c r="M12" s="203" t="s">
        <v>284</v>
      </c>
      <c r="N12" s="202">
        <f>G5/G8</f>
        <v>0.52602783720094637</v>
      </c>
      <c r="O12" s="204" t="s">
        <v>285</v>
      </c>
    </row>
    <row r="13" spans="1:1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90"/>
      <c r="L14" s="90"/>
      <c r="M14" s="90"/>
      <c r="N14" s="90"/>
      <c r="O14" s="9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Balanço de Potências</vt:lpstr>
      <vt:lpstr>Sobrecarga e Queda de Tensão</vt:lpstr>
      <vt:lpstr>Curto-Circuito2</vt:lpstr>
      <vt:lpstr>Barramento</vt:lpstr>
      <vt:lpstr>Centro de cargas</vt:lpstr>
      <vt:lpstr>Centro de cargas oficina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cunha</dc:creator>
  <cp:lastModifiedBy>Família Pereira</cp:lastModifiedBy>
  <cp:lastPrinted>2015-12-15T12:37:00Z</cp:lastPrinted>
  <dcterms:created xsi:type="dcterms:W3CDTF">2015-10-07T14:21:42Z</dcterms:created>
  <dcterms:modified xsi:type="dcterms:W3CDTF">2016-01-19T13:30:59Z</dcterms:modified>
</cp:coreProperties>
</file>