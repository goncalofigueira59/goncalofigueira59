
<file path=[Content_Types].xml><?xml version="1.0" encoding="utf-8"?>
<Types xmlns="http://schemas.openxmlformats.org/package/2006/content-types">
  <Override PartName="/xl/embeddings/oleObject8.bin" ContentType="application/vnd.openxmlformats-officedocument.oleObject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mbeddings/oleObject3.bin" ContentType="application/vnd.openxmlformats-officedocument.oleObject"/>
  <Override PartName="/xl/embeddings/oleObject4.bin" ContentType="application/vnd.openxmlformats-officedocument.oleObject"/>
  <Default Extension="emf" ContentType="image/x-emf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docProps/core.xml" ContentType="application/vnd.openxmlformats-package.core-properties+xml"/>
  <Default Extension="bin" ContentType="application/vnd.openxmlformats-officedocument.spreadsheetml.printerSettings"/>
  <Default Extension="png" ContentType="image/png"/>
  <Override PartName="/xl/embeddings/oleObject7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5150" windowHeight="7410" tabRatio="651" firstSheet="3" activeTab="5"/>
  </bookViews>
  <sheets>
    <sheet name="i_arr" sheetId="1" r:id="rId1"/>
    <sheet name="dis_dom" sheetId="2" r:id="rId2"/>
    <sheet name="dis_fusiveisgg" sheetId="4" r:id="rId3"/>
    <sheet name="resistividades" sheetId="3" r:id="rId4"/>
    <sheet name="airo4" sheetId="6" r:id="rId5"/>
    <sheet name="exemplo_SST" sheetId="5" r:id="rId6"/>
    <sheet name="bal_pot" sheetId="12" r:id="rId7"/>
    <sheet name="perg1a4" sheetId="13" r:id="rId8"/>
    <sheet name="perg5" sheetId="8" r:id="rId9"/>
    <sheet name="perg6" sheetId="9" r:id="rId10"/>
    <sheet name="perg7" sheetId="10" r:id="rId11"/>
    <sheet name="perg8" sheetId="11" r:id="rId12"/>
    <sheet name="perg12" sheetId="14" r:id="rId13"/>
  </sheets>
  <externalReferences>
    <externalReference r:id="rId14"/>
  </externalReferences>
  <definedNames>
    <definedName name="aaaaaaaa">'[1]11'!#REF!</definedName>
    <definedName name="_xlnm.Print_Area" localSheetId="5">exemplo_SST!$A$1:$J$104</definedName>
    <definedName name="_xlnm.Print_Area" localSheetId="10">perg7!$A$1:$H$100</definedName>
    <definedName name="mono__tri?" localSheetId="4">'[1]11'!#REF!</definedName>
    <definedName name="mono__tri?" localSheetId="5">#REF!</definedName>
    <definedName name="mono__tri?" localSheetId="8">'[1]11'!#REF!</definedName>
    <definedName name="mono__tri?" localSheetId="9">'[1]11'!#REF!</definedName>
    <definedName name="mono__tri?" localSheetId="10">'[1]11'!#REF!</definedName>
    <definedName name="mono__tri?" localSheetId="11">'[1]11'!#REF!</definedName>
    <definedName name="mono__tri?">#REF!</definedName>
  </definedNames>
  <calcPr calcId="125725"/>
</workbook>
</file>

<file path=xl/calcChain.xml><?xml version="1.0" encoding="utf-8"?>
<calcChain xmlns="http://schemas.openxmlformats.org/spreadsheetml/2006/main">
  <c r="F74" i="11"/>
  <c r="E74"/>
  <c r="G74" i="10"/>
  <c r="F74"/>
  <c r="E74"/>
  <c r="E84" i="6"/>
  <c r="E78"/>
  <c r="E77"/>
  <c r="G38" i="3"/>
  <c r="G37"/>
  <c r="F38"/>
  <c r="F37"/>
  <c r="E20" i="14"/>
  <c r="E11"/>
  <c r="E12" s="1"/>
  <c r="E79" i="10"/>
  <c r="D42" i="9"/>
  <c r="D41"/>
  <c r="D36"/>
  <c r="D35"/>
  <c r="D31"/>
  <c r="O96" i="13"/>
  <c r="F96"/>
  <c r="O90"/>
  <c r="N90"/>
  <c r="M90"/>
  <c r="O89"/>
  <c r="N89"/>
  <c r="M89"/>
  <c r="L89"/>
  <c r="L96" s="1"/>
  <c r="K89"/>
  <c r="J89"/>
  <c r="I89"/>
  <c r="H89"/>
  <c r="G89"/>
  <c r="G96" s="1"/>
  <c r="F89"/>
  <c r="G88"/>
  <c r="N77"/>
  <c r="O77" s="1"/>
  <c r="I77"/>
  <c r="H77"/>
  <c r="G77"/>
  <c r="F77"/>
  <c r="E77"/>
  <c r="J77" s="1"/>
  <c r="D77"/>
  <c r="Q76"/>
  <c r="N76"/>
  <c r="I76"/>
  <c r="H76"/>
  <c r="G76"/>
  <c r="F76"/>
  <c r="J76" s="1"/>
  <c r="O76" s="1"/>
  <c r="E76"/>
  <c r="D76"/>
  <c r="T75"/>
  <c r="N75"/>
  <c r="U75" s="1"/>
  <c r="J75"/>
  <c r="O75" s="1"/>
  <c r="Q74"/>
  <c r="U74" s="1"/>
  <c r="N74"/>
  <c r="T74" s="1"/>
  <c r="K74"/>
  <c r="S74" s="1"/>
  <c r="J74"/>
  <c r="O74" s="1"/>
  <c r="N73"/>
  <c r="T73" s="1"/>
  <c r="M73"/>
  <c r="J73"/>
  <c r="O73" s="1"/>
  <c r="Q72"/>
  <c r="U72" s="1"/>
  <c r="N72"/>
  <c r="T72" s="1"/>
  <c r="J72"/>
  <c r="O72" s="1"/>
  <c r="Q71"/>
  <c r="U71" s="1"/>
  <c r="N71"/>
  <c r="T71" s="1"/>
  <c r="J71"/>
  <c r="O71" s="1"/>
  <c r="N70"/>
  <c r="T70" s="1"/>
  <c r="J70"/>
  <c r="O70" s="1"/>
  <c r="R69"/>
  <c r="P69"/>
  <c r="I69"/>
  <c r="H69"/>
  <c r="G69"/>
  <c r="F69"/>
  <c r="E69"/>
  <c r="J69" s="1"/>
  <c r="D69"/>
  <c r="Q68"/>
  <c r="Q69" s="1"/>
  <c r="M68"/>
  <c r="N68" s="1"/>
  <c r="J68"/>
  <c r="F51"/>
  <c r="F48"/>
  <c r="F44"/>
  <c r="F46" s="1"/>
  <c r="F43"/>
  <c r="H52" i="12"/>
  <c r="G52"/>
  <c r="E52"/>
  <c r="F51"/>
  <c r="E51"/>
  <c r="E50"/>
  <c r="L43"/>
  <c r="J43"/>
  <c r="I43"/>
  <c r="F52" s="1"/>
  <c r="H43"/>
  <c r="M43" s="1"/>
  <c r="L90" i="13" s="1"/>
  <c r="J39" i="12"/>
  <c r="L39" s="1"/>
  <c r="K73" i="13" s="1"/>
  <c r="H39" i="12"/>
  <c r="M39" s="1"/>
  <c r="K90" i="13" s="1"/>
  <c r="J34" i="12"/>
  <c r="L34" s="1"/>
  <c r="I34"/>
  <c r="F50" s="1"/>
  <c r="H34"/>
  <c r="M34" s="1"/>
  <c r="K28"/>
  <c r="K77" i="13" s="1"/>
  <c r="J28" i="12"/>
  <c r="I28"/>
  <c r="H28"/>
  <c r="K27"/>
  <c r="K76" i="13" s="1"/>
  <c r="J27" i="12"/>
  <c r="I27"/>
  <c r="H27"/>
  <c r="K26"/>
  <c r="K75" i="13" s="1"/>
  <c r="J26" i="12"/>
  <c r="J29" s="1"/>
  <c r="I26"/>
  <c r="I29" s="1"/>
  <c r="F49" s="1"/>
  <c r="H26"/>
  <c r="H29" s="1"/>
  <c r="J17"/>
  <c r="I17"/>
  <c r="E17"/>
  <c r="I16"/>
  <c r="J16" s="1"/>
  <c r="J18" s="1"/>
  <c r="J11"/>
  <c r="I11"/>
  <c r="E11"/>
  <c r="J10"/>
  <c r="I10"/>
  <c r="E10"/>
  <c r="I9"/>
  <c r="J9" s="1"/>
  <c r="J12" s="1"/>
  <c r="M17" s="1"/>
  <c r="M18" s="1"/>
  <c r="F48" s="1"/>
  <c r="E9"/>
  <c r="D3"/>
  <c r="G49" l="1"/>
  <c r="H49" s="1"/>
  <c r="L29"/>
  <c r="K71" i="13" s="1"/>
  <c r="M29" i="12"/>
  <c r="I90" i="13" s="1"/>
  <c r="E49" i="12"/>
  <c r="F15" i="13"/>
  <c r="J90"/>
  <c r="K92"/>
  <c r="S73"/>
  <c r="T68"/>
  <c r="U68"/>
  <c r="O68"/>
  <c r="O69" s="1"/>
  <c r="T76"/>
  <c r="F53" i="12"/>
  <c r="K72" i="13"/>
  <c r="F17"/>
  <c r="M92"/>
  <c r="S75"/>
  <c r="S76"/>
  <c r="N92"/>
  <c r="S77"/>
  <c r="O92"/>
  <c r="U76"/>
  <c r="I12" i="12"/>
  <c r="I18"/>
  <c r="L92" i="13"/>
  <c r="M69"/>
  <c r="N69" s="1"/>
  <c r="G50" i="12"/>
  <c r="H50" s="1"/>
  <c r="G51"/>
  <c r="H51" s="1"/>
  <c r="U70" i="13"/>
  <c r="U73"/>
  <c r="K96"/>
  <c r="U77"/>
  <c r="F49"/>
  <c r="F50" s="1"/>
  <c r="T77"/>
  <c r="F8" l="1"/>
  <c r="F9" s="1"/>
  <c r="S72"/>
  <c r="J92"/>
  <c r="I92"/>
  <c r="S71"/>
  <c r="T69"/>
  <c r="U69"/>
  <c r="L17" i="12"/>
  <c r="L18" l="1"/>
  <c r="N17"/>
  <c r="N13" l="1"/>
  <c r="H90" i="13" s="1"/>
  <c r="N18" i="12"/>
  <c r="E48"/>
  <c r="E53" s="1"/>
  <c r="G48" l="1"/>
  <c r="M13"/>
  <c r="K70" i="13" s="1"/>
  <c r="S70" l="1"/>
  <c r="H92"/>
  <c r="H48" i="12"/>
  <c r="G53"/>
  <c r="H53" l="1"/>
  <c r="L53"/>
  <c r="N53" s="1"/>
  <c r="K68" i="13" s="1"/>
  <c r="O53" i="12"/>
  <c r="F90" i="13" s="1"/>
  <c r="G90" l="1"/>
  <c r="S68"/>
  <c r="F92"/>
  <c r="F97" s="1"/>
  <c r="K69"/>
  <c r="F94" l="1"/>
  <c r="S69"/>
  <c r="G92"/>
  <c r="G94" s="1"/>
  <c r="G95" s="1"/>
  <c r="F98"/>
  <c r="L97"/>
  <c r="L98" s="1"/>
  <c r="O97"/>
  <c r="O98" s="1"/>
  <c r="K97"/>
  <c r="K98" s="1"/>
  <c r="I97"/>
  <c r="I98" s="1"/>
  <c r="J97"/>
  <c r="J98" s="1"/>
  <c r="H97"/>
  <c r="H98" s="1"/>
  <c r="F95"/>
  <c r="L94"/>
  <c r="L95" s="1"/>
  <c r="K94"/>
  <c r="K95" s="1"/>
  <c r="I94"/>
  <c r="I95" s="1"/>
  <c r="J94"/>
  <c r="J95" s="1"/>
  <c r="H94"/>
  <c r="H95" s="1"/>
  <c r="G97" l="1"/>
  <c r="G98" s="1"/>
  <c r="N97"/>
  <c r="N98" s="1"/>
  <c r="M97"/>
  <c r="M98" s="1"/>
  <c r="N94"/>
  <c r="N95" s="1"/>
  <c r="O94"/>
  <c r="O95" s="1"/>
  <c r="M94"/>
  <c r="M95" s="1"/>
  <c r="F95" i="11" l="1"/>
  <c r="F91"/>
  <c r="E91"/>
  <c r="F89"/>
  <c r="E89"/>
  <c r="F77"/>
  <c r="E77"/>
  <c r="E75"/>
  <c r="E78" s="1"/>
  <c r="F68"/>
  <c r="F75" s="1"/>
  <c r="F78" s="1"/>
  <c r="E68"/>
  <c r="E76" s="1"/>
  <c r="E79" s="1"/>
  <c r="F65"/>
  <c r="F64"/>
  <c r="F62"/>
  <c r="F66" s="1"/>
  <c r="F61"/>
  <c r="E61"/>
  <c r="E62" s="1"/>
  <c r="E66" s="1"/>
  <c r="E52"/>
  <c r="E49"/>
  <c r="E65" s="1"/>
  <c r="E46"/>
  <c r="E39"/>
  <c r="E64" s="1"/>
  <c r="E14"/>
  <c r="E6"/>
  <c r="G95" i="10"/>
  <c r="F95"/>
  <c r="E95"/>
  <c r="G91"/>
  <c r="F91"/>
  <c r="E91"/>
  <c r="G79"/>
  <c r="F79"/>
  <c r="E77"/>
  <c r="G68"/>
  <c r="G78" s="1"/>
  <c r="F68"/>
  <c r="E68"/>
  <c r="E78" s="1"/>
  <c r="F65"/>
  <c r="F62"/>
  <c r="G61"/>
  <c r="G65" s="1"/>
  <c r="H60"/>
  <c r="G59"/>
  <c r="F59"/>
  <c r="E59"/>
  <c r="E57"/>
  <c r="F57" s="1"/>
  <c r="E51"/>
  <c r="E49"/>
  <c r="E45"/>
  <c r="E61" s="1"/>
  <c r="E62" s="1"/>
  <c r="E38"/>
  <c r="F70" s="1"/>
  <c r="F71" s="1"/>
  <c r="F72" s="1"/>
  <c r="E13"/>
  <c r="F89" s="1"/>
  <c r="I68" i="9"/>
  <c r="J66"/>
  <c r="I66"/>
  <c r="H66"/>
  <c r="D66"/>
  <c r="H68" s="1"/>
  <c r="I65"/>
  <c r="H65"/>
  <c r="J65" s="1"/>
  <c r="J59"/>
  <c r="I59" s="1"/>
  <c r="G49"/>
  <c r="F49"/>
  <c r="J48"/>
  <c r="J67" s="1"/>
  <c r="I48"/>
  <c r="I67" s="1"/>
  <c r="H48"/>
  <c r="H67" s="1"/>
  <c r="G48"/>
  <c r="F48"/>
  <c r="G47"/>
  <c r="F47"/>
  <c r="H46"/>
  <c r="G46"/>
  <c r="F46"/>
  <c r="H45"/>
  <c r="H64" s="1"/>
  <c r="G45"/>
  <c r="F45"/>
  <c r="I44"/>
  <c r="I63" s="1"/>
  <c r="G44"/>
  <c r="F44"/>
  <c r="D44"/>
  <c r="H29" s="1"/>
  <c r="H43"/>
  <c r="H62" s="1"/>
  <c r="G43"/>
  <c r="F43"/>
  <c r="G42"/>
  <c r="F42"/>
  <c r="G41"/>
  <c r="F41"/>
  <c r="I35"/>
  <c r="I49" s="1"/>
  <c r="G40"/>
  <c r="F40"/>
  <c r="N39"/>
  <c r="N38"/>
  <c r="M38"/>
  <c r="L38"/>
  <c r="K38"/>
  <c r="J38"/>
  <c r="I38"/>
  <c r="H38"/>
  <c r="D38"/>
  <c r="H20" s="1"/>
  <c r="I14"/>
  <c r="I42" s="1"/>
  <c r="I61" s="1"/>
  <c r="J32"/>
  <c r="I32"/>
  <c r="J41"/>
  <c r="I29"/>
  <c r="I47" s="1"/>
  <c r="J26"/>
  <c r="J46" s="1"/>
  <c r="I26"/>
  <c r="I46" s="1"/>
  <c r="H26"/>
  <c r="I23"/>
  <c r="J23" s="1"/>
  <c r="J45" s="1"/>
  <c r="J64" s="1"/>
  <c r="I20"/>
  <c r="J17"/>
  <c r="J43" s="1"/>
  <c r="J62" s="1"/>
  <c r="I17"/>
  <c r="I43" s="1"/>
  <c r="I62" s="1"/>
  <c r="J8"/>
  <c r="J40" s="1"/>
  <c r="D38" i="8"/>
  <c r="G37"/>
  <c r="F37"/>
  <c r="I36"/>
  <c r="H36"/>
  <c r="G36"/>
  <c r="F36"/>
  <c r="D36"/>
  <c r="H14" s="1"/>
  <c r="G35"/>
  <c r="F35"/>
  <c r="H34"/>
  <c r="G34"/>
  <c r="F34"/>
  <c r="I33"/>
  <c r="G33"/>
  <c r="F33"/>
  <c r="J32"/>
  <c r="G32"/>
  <c r="F32"/>
  <c r="J31"/>
  <c r="G31"/>
  <c r="F31"/>
  <c r="N30"/>
  <c r="N29"/>
  <c r="M29"/>
  <c r="L29"/>
  <c r="K29"/>
  <c r="J29"/>
  <c r="I29"/>
  <c r="H29"/>
  <c r="I26"/>
  <c r="I37" s="1"/>
  <c r="H26"/>
  <c r="J26" s="1"/>
  <c r="J37" s="1"/>
  <c r="J23"/>
  <c r="J36" s="1"/>
  <c r="I23"/>
  <c r="I20"/>
  <c r="I35" s="1"/>
  <c r="H20"/>
  <c r="H35" s="1"/>
  <c r="J17"/>
  <c r="J34" s="1"/>
  <c r="I17"/>
  <c r="I34" s="1"/>
  <c r="I14"/>
  <c r="J11"/>
  <c r="I11"/>
  <c r="I32" s="1"/>
  <c r="H11"/>
  <c r="H32" s="1"/>
  <c r="J8"/>
  <c r="M8" s="1"/>
  <c r="E88" i="6"/>
  <c r="E76"/>
  <c r="E67"/>
  <c r="E74" s="1"/>
  <c r="E58"/>
  <c r="E52"/>
  <c r="E50"/>
  <c r="E46"/>
  <c r="E56" s="1"/>
  <c r="E38"/>
  <c r="E63" s="1"/>
  <c r="E13"/>
  <c r="E73" s="1"/>
  <c r="F77" i="10" l="1"/>
  <c r="F78"/>
  <c r="E89"/>
  <c r="H35" i="9"/>
  <c r="J35" s="1"/>
  <c r="J49" s="1"/>
  <c r="J68" s="1"/>
  <c r="H14"/>
  <c r="J14" s="1"/>
  <c r="J42" s="1"/>
  <c r="J61" s="1"/>
  <c r="E60" i="6"/>
  <c r="E80" i="11"/>
  <c r="E81"/>
  <c r="E83" s="1"/>
  <c r="E70"/>
  <c r="E71" s="1"/>
  <c r="E72" s="1"/>
  <c r="F76"/>
  <c r="F79" s="1"/>
  <c r="F70"/>
  <c r="F71" s="1"/>
  <c r="F72" s="1"/>
  <c r="E66" i="10"/>
  <c r="E64"/>
  <c r="G62"/>
  <c r="G66" s="1"/>
  <c r="E65"/>
  <c r="F66"/>
  <c r="G76"/>
  <c r="G75" s="1"/>
  <c r="G57"/>
  <c r="G64"/>
  <c r="G70"/>
  <c r="G71" s="1"/>
  <c r="G72" s="1"/>
  <c r="F76"/>
  <c r="F75" s="1"/>
  <c r="G77"/>
  <c r="G89"/>
  <c r="E70"/>
  <c r="E71" s="1"/>
  <c r="E72" s="1"/>
  <c r="F64"/>
  <c r="E76"/>
  <c r="E75" s="1"/>
  <c r="H44" i="9"/>
  <c r="H63" s="1"/>
  <c r="J20"/>
  <c r="J44" s="1"/>
  <c r="J63" s="1"/>
  <c r="H47"/>
  <c r="J29"/>
  <c r="J47" s="1"/>
  <c r="H41"/>
  <c r="H60" s="1"/>
  <c r="I41"/>
  <c r="I60" s="1"/>
  <c r="L60" s="1"/>
  <c r="L61" s="1"/>
  <c r="L62" s="1"/>
  <c r="L63" s="1"/>
  <c r="L64" s="1"/>
  <c r="L65" s="1"/>
  <c r="L66" s="1"/>
  <c r="L67" s="1"/>
  <c r="L68" s="1"/>
  <c r="J60"/>
  <c r="L59"/>
  <c r="H59"/>
  <c r="K59" s="1"/>
  <c r="M59" s="1"/>
  <c r="N59" s="1"/>
  <c r="I45"/>
  <c r="I8"/>
  <c r="M8"/>
  <c r="J11"/>
  <c r="H33" i="8"/>
  <c r="J14"/>
  <c r="J33" s="1"/>
  <c r="M31"/>
  <c r="N8"/>
  <c r="N31" s="1"/>
  <c r="H37"/>
  <c r="I8"/>
  <c r="J20"/>
  <c r="J35" s="1"/>
  <c r="E75" i="6"/>
  <c r="E69"/>
  <c r="E70" s="1"/>
  <c r="E71" s="1"/>
  <c r="E86"/>
  <c r="G80" i="10" l="1"/>
  <c r="G81"/>
  <c r="G83" s="1"/>
  <c r="F81"/>
  <c r="F83" s="1"/>
  <c r="F80"/>
  <c r="E80"/>
  <c r="E81"/>
  <c r="E83" s="1"/>
  <c r="E80" i="6"/>
  <c r="H42" i="9"/>
  <c r="H61" s="1"/>
  <c r="H49"/>
  <c r="E64" i="6"/>
  <c r="E61"/>
  <c r="E65" s="1"/>
  <c r="E93" i="11"/>
  <c r="E96" s="1"/>
  <c r="E97" s="1"/>
  <c r="E82"/>
  <c r="E84" s="1"/>
  <c r="F81"/>
  <c r="F83" s="1"/>
  <c r="F80"/>
  <c r="M40" i="9"/>
  <c r="N8"/>
  <c r="N40" s="1"/>
  <c r="H11"/>
  <c r="I11"/>
  <c r="L11" s="1"/>
  <c r="L8"/>
  <c r="L40" s="1"/>
  <c r="H8"/>
  <c r="I40"/>
  <c r="K60"/>
  <c r="M60" s="1"/>
  <c r="N60" s="1"/>
  <c r="I31" i="8"/>
  <c r="L8"/>
  <c r="L31" s="1"/>
  <c r="H8"/>
  <c r="L11"/>
  <c r="E90" i="6"/>
  <c r="E93" s="1"/>
  <c r="E94" s="1"/>
  <c r="E79"/>
  <c r="E81" s="1"/>
  <c r="K61" i="9" l="1"/>
  <c r="M61" s="1"/>
  <c r="N61" s="1"/>
  <c r="E87" i="11"/>
  <c r="E90" s="1"/>
  <c r="E86"/>
  <c r="F93"/>
  <c r="F96" s="1"/>
  <c r="F97" s="1"/>
  <c r="F82"/>
  <c r="F84" s="1"/>
  <c r="E93" i="10"/>
  <c r="E96" s="1"/>
  <c r="E97" s="1"/>
  <c r="E82"/>
  <c r="E84" s="1"/>
  <c r="F93"/>
  <c r="F96" s="1"/>
  <c r="F97" s="1"/>
  <c r="F82"/>
  <c r="F84" s="1"/>
  <c r="G93"/>
  <c r="G96" s="1"/>
  <c r="G97" s="1"/>
  <c r="G82"/>
  <c r="G84" s="1"/>
  <c r="K8" i="9"/>
  <c r="K40" s="1"/>
  <c r="H40"/>
  <c r="K11"/>
  <c r="L41"/>
  <c r="L14"/>
  <c r="L32" i="8"/>
  <c r="L14"/>
  <c r="H31"/>
  <c r="K8"/>
  <c r="K31" s="1"/>
  <c r="K11"/>
  <c r="E83" i="6"/>
  <c r="E87"/>
  <c r="K62" i="9" l="1"/>
  <c r="K63" s="1"/>
  <c r="F86" i="11"/>
  <c r="F87"/>
  <c r="F90" s="1"/>
  <c r="G87" i="10"/>
  <c r="G90" s="1"/>
  <c r="G86"/>
  <c r="E87"/>
  <c r="E90" s="1"/>
  <c r="E86"/>
  <c r="F87"/>
  <c r="F90" s="1"/>
  <c r="F86"/>
  <c r="M11" i="9"/>
  <c r="K14"/>
  <c r="K41"/>
  <c r="M62"/>
  <c r="N62" s="1"/>
  <c r="L17"/>
  <c r="L42"/>
  <c r="K32" i="8"/>
  <c r="K14"/>
  <c r="M11"/>
  <c r="L33"/>
  <c r="L17"/>
  <c r="G16" i="3"/>
  <c r="F16"/>
  <c r="G15"/>
  <c r="F15"/>
  <c r="G27"/>
  <c r="F27"/>
  <c r="G26"/>
  <c r="F26"/>
  <c r="D31" i="4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10" s="1"/>
  <c r="D9"/>
  <c r="C9" s="1"/>
  <c r="D8"/>
  <c r="D7"/>
  <c r="C7" s="1"/>
  <c r="E99" i="5"/>
  <c r="E95"/>
  <c r="E79"/>
  <c r="E76"/>
  <c r="E84" s="1"/>
  <c r="E88" s="1"/>
  <c r="E93" s="1"/>
  <c r="E75"/>
  <c r="E74"/>
  <c r="E68"/>
  <c r="F60"/>
  <c r="E60"/>
  <c r="E61" s="1"/>
  <c r="E59"/>
  <c r="E58"/>
  <c r="E51"/>
  <c r="E49"/>
  <c r="E48"/>
  <c r="E45"/>
  <c r="E57" s="1"/>
  <c r="K17"/>
  <c r="E5" s="1"/>
  <c r="E38" s="1"/>
  <c r="E64" s="1"/>
  <c r="M15"/>
  <c r="L15"/>
  <c r="K20" s="1"/>
  <c r="E6" s="1"/>
  <c r="K15"/>
  <c r="C31" i="4"/>
  <c r="C30"/>
  <c r="C29"/>
  <c r="C28"/>
  <c r="C27"/>
  <c r="C26"/>
  <c r="C25"/>
  <c r="C24"/>
  <c r="C23"/>
  <c r="C22"/>
  <c r="C11"/>
  <c r="C8"/>
  <c r="C12"/>
  <c r="C21"/>
  <c r="C20"/>
  <c r="C19"/>
  <c r="C18"/>
  <c r="C17"/>
  <c r="C16"/>
  <c r="C15"/>
  <c r="C14"/>
  <c r="C13"/>
  <c r="D17" i="2"/>
  <c r="D16"/>
  <c r="D15"/>
  <c r="D14"/>
  <c r="D13"/>
  <c r="D12"/>
  <c r="D11"/>
  <c r="D10"/>
  <c r="D9"/>
  <c r="D8"/>
  <c r="D7"/>
  <c r="C14"/>
  <c r="C13"/>
  <c r="C12"/>
  <c r="C11"/>
  <c r="C10"/>
  <c r="C9"/>
  <c r="C8"/>
  <c r="C7"/>
  <c r="C15"/>
  <c r="C17"/>
  <c r="C16"/>
  <c r="F13" i="1"/>
  <c r="F15" s="1"/>
  <c r="F11"/>
  <c r="F17" l="1"/>
  <c r="M63" i="9"/>
  <c r="N63" s="1"/>
  <c r="K64"/>
  <c r="M41"/>
  <c r="N11"/>
  <c r="N41" s="1"/>
  <c r="L20"/>
  <c r="L43"/>
  <c r="K17"/>
  <c r="M14"/>
  <c r="K42"/>
  <c r="L20" i="8"/>
  <c r="L34"/>
  <c r="K33"/>
  <c r="K17"/>
  <c r="M14"/>
  <c r="N11"/>
  <c r="N32" s="1"/>
  <c r="M32"/>
  <c r="E65" i="5"/>
  <c r="E62"/>
  <c r="E66" s="1"/>
  <c r="E70"/>
  <c r="E71" s="1"/>
  <c r="E72" s="1"/>
  <c r="E78"/>
  <c r="E81" s="1"/>
  <c r="E83" s="1"/>
  <c r="E86" s="1"/>
  <c r="E82"/>
  <c r="K19"/>
  <c r="E77"/>
  <c r="E80" s="1"/>
  <c r="M64" i="9" l="1"/>
  <c r="N64" s="1"/>
  <c r="K65"/>
  <c r="K43"/>
  <c r="M17"/>
  <c r="K20"/>
  <c r="L44"/>
  <c r="L23"/>
  <c r="N14"/>
  <c r="N42" s="1"/>
  <c r="M42"/>
  <c r="M17" i="8"/>
  <c r="K20"/>
  <c r="K34"/>
  <c r="M33"/>
  <c r="N14"/>
  <c r="N33" s="1"/>
  <c r="L35"/>
  <c r="L23"/>
  <c r="E85" i="5"/>
  <c r="E87" s="1"/>
  <c r="E97"/>
  <c r="E100" s="1"/>
  <c r="E101" s="1"/>
  <c r="M43" i="9" l="1"/>
  <c r="N17"/>
  <c r="N43" s="1"/>
  <c r="K44"/>
  <c r="K23"/>
  <c r="M20"/>
  <c r="M65"/>
  <c r="N65" s="1"/>
  <c r="K66"/>
  <c r="L26"/>
  <c r="L45"/>
  <c r="M34" i="8"/>
  <c r="N17"/>
  <c r="N34" s="1"/>
  <c r="K35"/>
  <c r="K23"/>
  <c r="M20"/>
  <c r="L36"/>
  <c r="L26"/>
  <c r="L37" s="1"/>
  <c r="E90" i="5"/>
  <c r="E91"/>
  <c r="E94" s="1"/>
  <c r="M66" i="9" l="1"/>
  <c r="N66" s="1"/>
  <c r="K67"/>
  <c r="M44"/>
  <c r="N20"/>
  <c r="N44" s="1"/>
  <c r="L29"/>
  <c r="L46"/>
  <c r="K26"/>
  <c r="K45"/>
  <c r="M23"/>
  <c r="K36" i="8"/>
  <c r="M23"/>
  <c r="K26"/>
  <c r="N20"/>
  <c r="N35" s="1"/>
  <c r="M35"/>
  <c r="N23" i="9" l="1"/>
  <c r="N45" s="1"/>
  <c r="M45"/>
  <c r="L47"/>
  <c r="L32"/>
  <c r="M67"/>
  <c r="N67" s="1"/>
  <c r="K68"/>
  <c r="M68" s="1"/>
  <c r="N68" s="1"/>
  <c r="K46"/>
  <c r="M26"/>
  <c r="K29"/>
  <c r="N23" i="8"/>
  <c r="N36" s="1"/>
  <c r="M36"/>
  <c r="M26"/>
  <c r="K37"/>
  <c r="M29" i="9" l="1"/>
  <c r="K32"/>
  <c r="K47"/>
  <c r="M46"/>
  <c r="N26"/>
  <c r="N46" s="1"/>
  <c r="L48"/>
  <c r="L35"/>
  <c r="L49" s="1"/>
  <c r="M37" i="8"/>
  <c r="N26"/>
  <c r="N37" s="1"/>
  <c r="M47" i="9" l="1"/>
  <c r="N29"/>
  <c r="N47" s="1"/>
  <c r="K48"/>
  <c r="M32"/>
  <c r="K35"/>
  <c r="N32" l="1"/>
  <c r="N48" s="1"/>
  <c r="M48"/>
  <c r="M35"/>
  <c r="K49"/>
  <c r="N35" l="1"/>
  <c r="N49" s="1"/>
  <c r="M49"/>
</calcChain>
</file>

<file path=xl/comments1.xml><?xml version="1.0" encoding="utf-8"?>
<comments xmlns="http://schemas.openxmlformats.org/spreadsheetml/2006/main">
  <authors>
    <author>Autor</author>
  </authors>
  <commentList>
    <comment ref="E22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E22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E22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E23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0,017241
Alumínio: 0,028264</t>
        </r>
      </text>
    </comment>
    <comment ref="E24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Cobre: 0,00393
Alumínio: 0,00403</t>
        </r>
      </text>
    </comment>
  </commentList>
</comments>
</file>

<file path=xl/sharedStrings.xml><?xml version="1.0" encoding="utf-8"?>
<sst xmlns="http://schemas.openxmlformats.org/spreadsheetml/2006/main" count="1580" uniqueCount="573">
  <si>
    <t>kW</t>
  </si>
  <si>
    <t>%</t>
  </si>
  <si>
    <r>
      <t xml:space="preserve">cos </t>
    </r>
    <r>
      <rPr>
        <sz val="11"/>
        <color theme="1"/>
        <rFont val="Symbol"/>
        <family val="1"/>
        <charset val="2"/>
      </rPr>
      <t>j</t>
    </r>
  </si>
  <si>
    <t>-</t>
  </si>
  <si>
    <t>Potência elétrica</t>
  </si>
  <si>
    <t>Potência mecânica</t>
  </si>
  <si>
    <t xml:space="preserve">Rendimento </t>
  </si>
  <si>
    <t>Corrente de dimensionamento da canalização de alimentação de motor trifásico</t>
  </si>
  <si>
    <t>Corrente</t>
  </si>
  <si>
    <t>A</t>
  </si>
  <si>
    <t>Tensão entre fases</t>
  </si>
  <si>
    <t>V</t>
  </si>
  <si>
    <t>Corrente de arranque</t>
  </si>
  <si>
    <t>n</t>
  </si>
  <si>
    <t>Corrente de serviço</t>
  </si>
  <si>
    <t>P</t>
  </si>
  <si>
    <t>U</t>
  </si>
  <si>
    <t>Ia/I</t>
  </si>
  <si>
    <t>h</t>
  </si>
  <si>
    <t>Pe</t>
  </si>
  <si>
    <t>I</t>
  </si>
  <si>
    <t>Ia</t>
  </si>
  <si>
    <t>IB</t>
  </si>
  <si>
    <t>Secção 553.2 das RTIEBT</t>
  </si>
  <si>
    <t xml:space="preserve">Corrente Estipulada </t>
  </si>
  <si>
    <t>In (A)</t>
  </si>
  <si>
    <t>Corrente Convencional de não funcionamento</t>
  </si>
  <si>
    <t>Inf (A)</t>
  </si>
  <si>
    <t>Corrente Convencional de funcionamento</t>
  </si>
  <si>
    <t>I2 (A)</t>
  </si>
  <si>
    <t>Inf (A) = 1,13In</t>
  </si>
  <si>
    <t>I2 (A) = 1,45In</t>
  </si>
  <si>
    <t>CORRENTES ESTIPULADAS E CONVENCIONAIS DE
FUSÍVEIS gG
(EN 60269-2)</t>
  </si>
  <si>
    <t>CORRENTES ESTIPULADAS E CONVENCIONAIS DE
DISJUNTORES DO TIPO DOMÉSTICO
(EN 60898)</t>
  </si>
  <si>
    <t>Disjuntor</t>
  </si>
  <si>
    <t>BALANÇO DE POTÊNCIA</t>
  </si>
  <si>
    <t>Novo Secador Sem Tensão</t>
  </si>
  <si>
    <t>Dados Máquina</t>
  </si>
  <si>
    <t xml:space="preserve">Potência de Aparente </t>
  </si>
  <si>
    <t>kVA</t>
  </si>
  <si>
    <t xml:space="preserve">Factor de potência </t>
  </si>
  <si>
    <t>Ventil.</t>
  </si>
  <si>
    <t>D.Axial</t>
  </si>
  <si>
    <t>Foulard</t>
  </si>
  <si>
    <t>Tipo 4</t>
  </si>
  <si>
    <t>Tipo 5</t>
  </si>
  <si>
    <t>Dados Rede</t>
  </si>
  <si>
    <t>Tensão composta</t>
  </si>
  <si>
    <t>Potência nominal</t>
  </si>
  <si>
    <t>Comprimento</t>
  </si>
  <si>
    <t>m</t>
  </si>
  <si>
    <t>Rendimento estimado</t>
  </si>
  <si>
    <t>Scc, potência de curto-circuito da rede a montante</t>
  </si>
  <si>
    <t>MVA</t>
  </si>
  <si>
    <t>Fator de potência</t>
  </si>
  <si>
    <t>Ucc, transformador a montante</t>
  </si>
  <si>
    <t>Quantidade</t>
  </si>
  <si>
    <t>Potência, transformador a montante</t>
  </si>
  <si>
    <t>Fator de utilização - ku</t>
  </si>
  <si>
    <t>Número de transformadores</t>
  </si>
  <si>
    <t>transf</t>
  </si>
  <si>
    <t>b, tipo de rede (1-trifásico equilibrado; 2 - outros)</t>
  </si>
  <si>
    <t>Fator de evolução de cargas - ke</t>
  </si>
  <si>
    <t>Cmax, fator de tensão máximo</t>
  </si>
  <si>
    <t>POTÊNCIA APARENTE</t>
  </si>
  <si>
    <t xml:space="preserve">Cmin, fator de tensão mínimo </t>
  </si>
  <si>
    <t>m, fator de carga em vazio</t>
  </si>
  <si>
    <t>POTÊNCIA APARENTE TOTAL</t>
  </si>
  <si>
    <t xml:space="preserve">Regime de neutro </t>
  </si>
  <si>
    <t>TN-C</t>
  </si>
  <si>
    <t>Dados cabo</t>
  </si>
  <si>
    <t xml:space="preserve">Intensidade de Corrente </t>
  </si>
  <si>
    <t xml:space="preserve">Tipo de cabo </t>
  </si>
  <si>
    <t>XV</t>
  </si>
  <si>
    <t>Fator de potência médio</t>
  </si>
  <si>
    <t>Tipo de material condutor</t>
  </si>
  <si>
    <t>Cobre</t>
  </si>
  <si>
    <t>Resistividade do material condutor a 20 ºC</t>
  </si>
  <si>
    <r>
      <t>W</t>
    </r>
    <r>
      <rPr>
        <sz val="10"/>
        <rFont val="Arial"/>
        <family val="2"/>
      </rPr>
      <t>.mm2/m</t>
    </r>
  </si>
  <si>
    <t>Anexo VI</t>
  </si>
  <si>
    <t>Coeficiente de variação de resistividade a 20 ºC</t>
  </si>
  <si>
    <t>K-1</t>
  </si>
  <si>
    <t xml:space="preserve">Temperatura máxima de funcionamento </t>
  </si>
  <si>
    <t>ºC</t>
  </si>
  <si>
    <t>Quadro 52A [523]</t>
  </si>
  <si>
    <t xml:space="preserve">Isolamento </t>
  </si>
  <si>
    <t>XLPE</t>
  </si>
  <si>
    <t>Anexo IIB</t>
  </si>
  <si>
    <t xml:space="preserve">k - constante do isolamento cabo </t>
  </si>
  <si>
    <t>Secção 434</t>
  </si>
  <si>
    <r>
      <rPr>
        <sz val="10"/>
        <rFont val="Symbol"/>
        <family val="1"/>
        <charset val="2"/>
      </rPr>
      <t>l</t>
    </r>
    <r>
      <rPr>
        <sz val="10"/>
        <rFont val="Arial"/>
        <family val="2"/>
      </rPr>
      <t xml:space="preserve"> - Reatância linear do cabo</t>
    </r>
  </si>
  <si>
    <r>
      <t>m</t>
    </r>
    <r>
      <rPr>
        <sz val="10"/>
        <rFont val="Symbol"/>
        <family val="1"/>
        <charset val="2"/>
      </rPr>
      <t>W</t>
    </r>
    <r>
      <rPr>
        <sz val="10"/>
        <rFont val="Arial"/>
        <family val="2"/>
      </rPr>
      <t>/m</t>
    </r>
  </si>
  <si>
    <t>Polaridade cabo</t>
  </si>
  <si>
    <t>Monocondutor</t>
  </si>
  <si>
    <t>Modo instalação</t>
  </si>
  <si>
    <t>Enterrado</t>
  </si>
  <si>
    <t>Enterrado e calha metálica perfurada, 3 condut.</t>
  </si>
  <si>
    <t>Tipo de colocação</t>
  </si>
  <si>
    <t xml:space="preserve">Secção condutor PEN </t>
  </si>
  <si>
    <t>mm2</t>
  </si>
  <si>
    <t>Igual ao da fase</t>
  </si>
  <si>
    <t xml:space="preserve">Agrupamento de cabos </t>
  </si>
  <si>
    <t>Dados bioclimáticos</t>
  </si>
  <si>
    <t>Temperatura ambiente</t>
  </si>
  <si>
    <t xml:space="preserve">Temperatura do solo </t>
  </si>
  <si>
    <t>Resistividade térmica terreno</t>
  </si>
  <si>
    <t>K.m/W</t>
  </si>
  <si>
    <t xml:space="preserve">Corrente de serviço </t>
  </si>
  <si>
    <t xml:space="preserve">Referência do modo de instalação </t>
  </si>
  <si>
    <t>Quadro 52H</t>
  </si>
  <si>
    <t xml:space="preserve">Método de referência do modo de instalação </t>
  </si>
  <si>
    <t>D</t>
  </si>
  <si>
    <t xml:space="preserve">Factores de correcção </t>
  </si>
  <si>
    <t>Função da temperatura solo</t>
  </si>
  <si>
    <t>Quadro 52-D2</t>
  </si>
  <si>
    <t>Agrupamento de cabos</t>
  </si>
  <si>
    <t>Quadro 52-E2</t>
  </si>
  <si>
    <t>Factor de correcção total</t>
  </si>
  <si>
    <t>Fusível / Disjuntor</t>
  </si>
  <si>
    <t xml:space="preserve">In - Calibre </t>
  </si>
  <si>
    <t xml:space="preserve">Ir - Regulação térmica </t>
  </si>
  <si>
    <t>Correção temp.</t>
  </si>
  <si>
    <t>Im - Regulação magnética</t>
  </si>
  <si>
    <t>Factor multiplicativo I2</t>
  </si>
  <si>
    <t>Disj. Industrial</t>
  </si>
  <si>
    <t xml:space="preserve">I2 - Corrente de funcionamento </t>
  </si>
  <si>
    <t>Ics - poder de corte em serviço</t>
  </si>
  <si>
    <t>kA</t>
  </si>
  <si>
    <t>Fabricante</t>
  </si>
  <si>
    <t xml:space="preserve">Nível de disparo de protecção térmica </t>
  </si>
  <si>
    <t>1.ª iteração</t>
  </si>
  <si>
    <t>Cabo</t>
  </si>
  <si>
    <t>Iz_min - Corrente admissível mínima (Ir)</t>
  </si>
  <si>
    <t>Secção do cabo (fase)</t>
  </si>
  <si>
    <t>Quadro 52-C30</t>
  </si>
  <si>
    <t>2x120</t>
  </si>
  <si>
    <t>Secção do cabo (neutro)</t>
  </si>
  <si>
    <t>Quadro 54F</t>
  </si>
  <si>
    <t xml:space="preserve">I'z - Corrente máxima admissível sem correcção </t>
  </si>
  <si>
    <t xml:space="preserve">Iz - Corrente máxima admissível com correcção </t>
  </si>
  <si>
    <t xml:space="preserve">1,45.Iz - Fadiga térmica </t>
  </si>
  <si>
    <t>Protecção contra sobrecargas</t>
  </si>
  <si>
    <t>Condição:  IB &lt;= Ir</t>
  </si>
  <si>
    <t>?</t>
  </si>
  <si>
    <t>Condição:  Ir &lt;= Iz</t>
  </si>
  <si>
    <t>Condição:  I2 &lt;= 1,45.Iz</t>
  </si>
  <si>
    <t xml:space="preserve">Queda de tensão </t>
  </si>
  <si>
    <t>Resistividade material condutor (temp. máxima)</t>
  </si>
  <si>
    <r>
      <t>D</t>
    </r>
    <r>
      <rPr>
        <sz val="10"/>
        <rFont val="Arial"/>
        <family val="2"/>
      </rPr>
      <t>u.max</t>
    </r>
  </si>
  <si>
    <t>Quadro 52O</t>
  </si>
  <si>
    <t xml:space="preserve">u - queda de tensão absoluta </t>
  </si>
  <si>
    <r>
      <t>D</t>
    </r>
    <r>
      <rPr>
        <sz val="10"/>
        <rFont val="Arial"/>
        <family val="2"/>
      </rPr>
      <t>u - queda de tensão percentual</t>
    </r>
  </si>
  <si>
    <r>
      <t xml:space="preserve">Condição: 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 xml:space="preserve">u &lt;=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u.max</t>
    </r>
  </si>
  <si>
    <t xml:space="preserve">Protecção contra curto-circuitos </t>
  </si>
  <si>
    <t xml:space="preserve">Zmont - Impedância da rede a montante </t>
  </si>
  <si>
    <r>
      <rPr>
        <sz val="10"/>
        <rFont val="Arial"/>
        <family val="2"/>
      </rPr>
      <t>m</t>
    </r>
    <r>
      <rPr>
        <sz val="10"/>
        <rFont val="Symbol"/>
        <family val="1"/>
        <charset val="2"/>
      </rPr>
      <t>W</t>
    </r>
  </si>
  <si>
    <t>Ztransf_max - Impedância transformador máxima</t>
  </si>
  <si>
    <t>Ztransf_min - Impedância transformador mínima</t>
  </si>
  <si>
    <t>Rcabo1 - resistência do cabo (Ik1.min)</t>
  </si>
  <si>
    <t>Rcabo2 - resistência do cabo (Ik2.min)</t>
  </si>
  <si>
    <t xml:space="preserve">Xcabo - reatância do cabo </t>
  </si>
  <si>
    <t xml:space="preserve">Zcabo1 - Impedância do cabo (Ik1.min) </t>
  </si>
  <si>
    <t xml:space="preserve">Zcabo2 - Impedância do cabo (Ik2.min) </t>
  </si>
  <si>
    <t>Zcc1 - Impedância de curto-circuito equivalente (Ik1.min)</t>
  </si>
  <si>
    <t>Zcc2 - Impedância de curto-circuito equivalente (Ik2.min)</t>
  </si>
  <si>
    <t>Zcc3 - Impedância de curto-circuito equivalente (Ik3.max)</t>
  </si>
  <si>
    <t xml:space="preserve">Ik1.min - Corrente de curto-circuito mínima monofásica </t>
  </si>
  <si>
    <t xml:space="preserve">Ik2.min - Corrente de curto-circuito mínima bifásica </t>
  </si>
  <si>
    <t xml:space="preserve">Mínimo (Ik1.min.jusante ou Ik2.min.jusante) </t>
  </si>
  <si>
    <t xml:space="preserve">Ik3.max - Corrente de curto-circuito trifásica máxima </t>
  </si>
  <si>
    <t>Tempo máximo de curto-circuito</t>
  </si>
  <si>
    <t>s</t>
  </si>
  <si>
    <t>I / Ir</t>
  </si>
  <si>
    <t xml:space="preserve">tft - tempo de fadiga térmica </t>
  </si>
  <si>
    <t>tc - tempo de corte para I / Ir</t>
  </si>
  <si>
    <t>Curva fabricante</t>
  </si>
  <si>
    <t>Condição:  Icc.max &lt;= Ics</t>
  </si>
  <si>
    <t xml:space="preserve">Condição:  tc &lt; tft </t>
  </si>
  <si>
    <t xml:space="preserve">Condição:  tc &lt; 5 s </t>
  </si>
  <si>
    <t>Protecção de pessoas</t>
  </si>
  <si>
    <t>Zs - Impedância da malha de defeito máxima</t>
  </si>
  <si>
    <t>ta - Tempo máximo de actuação protecção</t>
  </si>
  <si>
    <t>Ia - Corrente de funcionamento para ta</t>
  </si>
  <si>
    <t>Zs.Ia - Condição de protecção TN</t>
  </si>
  <si>
    <t>Condição:  Zs.Ia &lt;= U0</t>
  </si>
  <si>
    <t>Resumo</t>
  </si>
  <si>
    <t>NSX400H 3P3D Micrologic 2.3; I'r = 400 A; Im = 12x400 A</t>
  </si>
  <si>
    <t>4 x 2 x XV1x120 0,6/1kV</t>
  </si>
  <si>
    <r>
      <rPr>
        <sz val="11"/>
        <color theme="1"/>
        <rFont val="Symbol"/>
        <family val="1"/>
        <charset val="2"/>
      </rPr>
      <t>W.</t>
    </r>
    <r>
      <rPr>
        <sz val="11"/>
        <color theme="1"/>
        <rFont val="Calibri"/>
        <family val="2"/>
      </rPr>
      <t>mm2/m</t>
    </r>
  </si>
  <si>
    <t>Alumínio</t>
  </si>
  <si>
    <t>r20</t>
  </si>
  <si>
    <t>a</t>
  </si>
  <si>
    <t xml:space="preserve">Coeficiente </t>
  </si>
  <si>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</si>
  <si>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r>
      <t xml:space="preserve">Resistividade a 20 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</t>
    </r>
  </si>
  <si>
    <t>Isolante</t>
  </si>
  <si>
    <t>Condutor</t>
  </si>
  <si>
    <t>PVC</t>
  </si>
  <si>
    <t>XLPE/EPR</t>
  </si>
  <si>
    <t>Temperatura máxima c.c.</t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</si>
  <si>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</rPr>
      <t>max</t>
    </r>
  </si>
  <si>
    <t>Resistividade para cc</t>
  </si>
  <si>
    <t>QUEDAS DE TENSÃO</t>
  </si>
  <si>
    <t>Resistividade para DU</t>
  </si>
  <si>
    <t>Temperatura máxima DU</t>
  </si>
  <si>
    <t xml:space="preserve">Potência de serviço </t>
  </si>
  <si>
    <t>Factor de simultaneidade</t>
  </si>
  <si>
    <t>Ik3.máx</t>
  </si>
  <si>
    <t>Quadro 52A</t>
  </si>
  <si>
    <t>Condutas enterradas</t>
  </si>
  <si>
    <t>triângulo</t>
  </si>
  <si>
    <t xml:space="preserve">Função da temperatura do solo </t>
  </si>
  <si>
    <t xml:space="preserve">Resistividade térmica do solo </t>
  </si>
  <si>
    <t>Quadro 52-E6</t>
  </si>
  <si>
    <t xml:space="preserve">Colocação dentro de tubo </t>
  </si>
  <si>
    <t>Iz_min - Corrente admissível mínima sem FC</t>
  </si>
  <si>
    <t>Quadro 52-C11</t>
  </si>
  <si>
    <t>Condição:  IB &lt;= In</t>
  </si>
  <si>
    <t>Condição:  In &lt;= Iz</t>
  </si>
  <si>
    <t>Xcabo - reatância do cabo</t>
  </si>
  <si>
    <t>Condição:  Ik3.max &lt;= Ics</t>
  </si>
  <si>
    <t xml:space="preserve">Zs - impedância da malha de defeito </t>
  </si>
  <si>
    <t>ta - tempo máximo de actuação protecção</t>
  </si>
  <si>
    <t>Quadro 41A</t>
  </si>
  <si>
    <t>NSX250F 3P3D TM250D, I'r = 250 A; Im = 2.500 A</t>
  </si>
  <si>
    <t>4 x XV 1x150 0,6/1kV</t>
  </si>
  <si>
    <t>Fator de simultaneidade - ks</t>
  </si>
  <si>
    <t>CURTO-CIRCUITOS MÍNIMOS</t>
  </si>
  <si>
    <t>RESISTIVIDADES</t>
  </si>
  <si>
    <t xml:space="preserve">Za - Impedância da rede a montante </t>
  </si>
  <si>
    <t>Ra - resistência da rede a montante</t>
  </si>
  <si>
    <t>Xa - reatância da rede a montante</t>
  </si>
  <si>
    <t>1. Queda de tensão da saída 5</t>
  </si>
  <si>
    <t>Queda de tensão</t>
  </si>
  <si>
    <t>u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</si>
  <si>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Calibri"/>
        <family val="2"/>
        <scheme val="minor"/>
      </rPr>
      <t>u</t>
    </r>
  </si>
  <si>
    <t>b</t>
  </si>
  <si>
    <t xml:space="preserve">Tensão simples </t>
  </si>
  <si>
    <t>Trifásico equilibrado</t>
  </si>
  <si>
    <t>Sistema</t>
  </si>
  <si>
    <t>mono, tri?</t>
  </si>
  <si>
    <t xml:space="preserve">Monofásico ou trifásico desequilibrado </t>
  </si>
  <si>
    <t>Resistividade</t>
  </si>
  <si>
    <t>r1</t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</si>
  <si>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.mm2/m</t>
    </r>
  </si>
  <si>
    <t>L</t>
  </si>
  <si>
    <t>Secção</t>
  </si>
  <si>
    <t>S</t>
  </si>
  <si>
    <t>Reatância linear</t>
  </si>
  <si>
    <t>l</t>
  </si>
  <si>
    <r>
      <t>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/m</t>
    </r>
  </si>
  <si>
    <t>Iluminação</t>
  </si>
  <si>
    <t>Outros</t>
  </si>
  <si>
    <t xml:space="preserve">Alimentação BT </t>
  </si>
  <si>
    <t xml:space="preserve">Alimentação MT/BT </t>
  </si>
  <si>
    <t>2. Intensidade estipulada de fusível gG</t>
  </si>
  <si>
    <t>Fusível gG</t>
  </si>
  <si>
    <t>LSVAV 4x95 mm2</t>
  </si>
  <si>
    <t>MR</t>
  </si>
  <si>
    <t>In</t>
  </si>
  <si>
    <t>Isolamento</t>
  </si>
  <si>
    <t>XLPE, EPR</t>
  </si>
  <si>
    <t>A2</t>
  </si>
  <si>
    <t>Método de referência</t>
  </si>
  <si>
    <t>B</t>
  </si>
  <si>
    <t>Condutores carregados</t>
  </si>
  <si>
    <t>cond</t>
  </si>
  <si>
    <t>B2</t>
  </si>
  <si>
    <t>Corrente admissível</t>
  </si>
  <si>
    <t>I'z</t>
  </si>
  <si>
    <t>C</t>
  </si>
  <si>
    <t>Fator de correção 52-D1</t>
  </si>
  <si>
    <t>FC1</t>
  </si>
  <si>
    <t>Quadro 52-D1</t>
  </si>
  <si>
    <t>Fator de correção 52-D2</t>
  </si>
  <si>
    <t>FC2</t>
  </si>
  <si>
    <t>E</t>
  </si>
  <si>
    <t>Fator de correção 52-E1</t>
  </si>
  <si>
    <t>FC3</t>
  </si>
  <si>
    <t>Quadro 52-E1</t>
  </si>
  <si>
    <t>F</t>
  </si>
  <si>
    <t>Fator de correção 52-E2</t>
  </si>
  <si>
    <t>FC4</t>
  </si>
  <si>
    <t>G</t>
  </si>
  <si>
    <t>Fator de correção 52-E3</t>
  </si>
  <si>
    <t>FC5</t>
  </si>
  <si>
    <t>Quadro 52-E3</t>
  </si>
  <si>
    <t>k2</t>
  </si>
  <si>
    <t>Fator de correção 52-E4</t>
  </si>
  <si>
    <t>FC6</t>
  </si>
  <si>
    <t>Quadro 52-E4</t>
  </si>
  <si>
    <t xml:space="preserve">Disjuntor modular </t>
  </si>
  <si>
    <t>Fator de correção 52-E5</t>
  </si>
  <si>
    <t>FC7</t>
  </si>
  <si>
    <t>Quadro 52-E5</t>
  </si>
  <si>
    <t xml:space="preserve">Disjuntor outros </t>
  </si>
  <si>
    <t>Fator de correção total</t>
  </si>
  <si>
    <t>FC.total</t>
  </si>
  <si>
    <t xml:space="preserve">Fusível (In &gt;= 16 A) </t>
  </si>
  <si>
    <t xml:space="preserve">Corrente admissível corrigida </t>
  </si>
  <si>
    <t>Iz</t>
  </si>
  <si>
    <t xml:space="preserve">Fusível (4 &lt; In&lt; 16 A) </t>
  </si>
  <si>
    <t xml:space="preserve">Corrente estipulada do fusível </t>
  </si>
  <si>
    <t xml:space="preserve">Fusível (In &lt;= 4 A) </t>
  </si>
  <si>
    <t>Condição In &lt;= I'z?</t>
  </si>
  <si>
    <t>Relação entre I2 e In</t>
  </si>
  <si>
    <t xml:space="preserve">Corrente convencional de funcionamento </t>
  </si>
  <si>
    <t>I2</t>
  </si>
  <si>
    <t xml:space="preserve">Valor limite térmico da canalização </t>
  </si>
  <si>
    <t>Condição I2 &lt;= 1.45.I'z</t>
  </si>
  <si>
    <t>RESPOSTA:</t>
  </si>
  <si>
    <t xml:space="preserve">3. Seções mínimas </t>
  </si>
  <si>
    <t>Iz.min=Ir/FC.t</t>
  </si>
  <si>
    <t>CABO</t>
  </si>
  <si>
    <t>MODO DE COLOCAÇÃO</t>
  </si>
  <si>
    <t>Método de Referência</t>
  </si>
  <si>
    <t>FC 52-D1</t>
  </si>
  <si>
    <t>FC 52-D2</t>
  </si>
  <si>
    <t>FC 52-E1</t>
  </si>
  <si>
    <t>FC 52-E2</t>
  </si>
  <si>
    <t>FC 52-E6</t>
  </si>
  <si>
    <t>FC.t</t>
  </si>
  <si>
    <t>IB
(A)</t>
  </si>
  <si>
    <t>In
(A)</t>
  </si>
  <si>
    <t>Regulaç.</t>
  </si>
  <si>
    <t>Ir
(A)</t>
  </si>
  <si>
    <t>Iz.min
(A)</t>
  </si>
  <si>
    <t>Quadro 52-C</t>
  </si>
  <si>
    <t>Iz
(A)</t>
  </si>
  <si>
    <t>Sfase
(mm2)</t>
  </si>
  <si>
    <t>IB &lt;= Ir?</t>
  </si>
  <si>
    <t>Ir &lt;= I'z?</t>
  </si>
  <si>
    <t>I2 &lt;= 1,45.I'z?</t>
  </si>
  <si>
    <t>Regulações disparador eletrónico</t>
  </si>
  <si>
    <t>C1</t>
  </si>
  <si>
    <t>Mono condutores, Cu, XLPE, 
Colocação em trevo, só em caminho 
de cabos perfurados,T=35°C</t>
  </si>
  <si>
    <t>C11</t>
  </si>
  <si>
    <t>4x150</t>
  </si>
  <si>
    <t>Io</t>
  </si>
  <si>
    <t>Ir</t>
  </si>
  <si>
    <t>C2</t>
  </si>
  <si>
    <t>C3</t>
  </si>
  <si>
    <t>Multi condutor, Cu, XLPE, só
Em caleira fechada, T=30°C</t>
  </si>
  <si>
    <t>C4</t>
  </si>
  <si>
    <t>Multi condutor, Cu, XLPE, só 
suspenso, T=30°C</t>
  </si>
  <si>
    <t>C5</t>
  </si>
  <si>
    <t>Multi condutor Cu, XLPE,  em 
conduta enterrada,solo húm., T=25°C</t>
  </si>
  <si>
    <t>C30</t>
  </si>
  <si>
    <t>C6</t>
  </si>
  <si>
    <t>Mono condutor, Cu, XLPE, sobre 
Escadas de cabos com 2 outros 
circuitos, T=40°C</t>
  </si>
  <si>
    <t>C7</t>
  </si>
  <si>
    <t>monocondutor, Al, PVC, em trevo, só sobre 
caminho de cabo perfurado, T=30°C</t>
  </si>
  <si>
    <t>C10</t>
  </si>
  <si>
    <t>2x150</t>
  </si>
  <si>
    <t>C41</t>
  </si>
  <si>
    <t>3 circuitos, 
cabos multi condutores, Cu, 
PVC, caminho de cabo perf, T=30°C</t>
  </si>
  <si>
    <t>C9</t>
  </si>
  <si>
    <t>C42</t>
  </si>
  <si>
    <t>C43</t>
  </si>
  <si>
    <t>4. Queda de tensão</t>
  </si>
  <si>
    <t>Queda de tensão máxima</t>
  </si>
  <si>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>u.max</t>
    </r>
  </si>
  <si>
    <t>Queda de tensão (antes)</t>
  </si>
  <si>
    <t>Nova Secção (mm2)</t>
  </si>
  <si>
    <t>Queda de tensão (depois)</t>
  </si>
  <si>
    <r>
      <t>Valores em m</t>
    </r>
    <r>
      <rPr>
        <sz val="11"/>
        <color theme="1"/>
        <rFont val="Symbol"/>
        <family val="1"/>
        <charset val="2"/>
      </rPr>
      <t>W</t>
    </r>
  </si>
  <si>
    <t>Resistência</t>
  </si>
  <si>
    <t>Reatância</t>
  </si>
  <si>
    <t>Impedância</t>
  </si>
  <si>
    <t>R.acum</t>
  </si>
  <si>
    <t>X.acum</t>
  </si>
  <si>
    <t>Z.acum</t>
  </si>
  <si>
    <r>
      <t>m</t>
    </r>
    <r>
      <rPr>
        <sz val="11"/>
        <color theme="1"/>
        <rFont val="Symbol"/>
        <family val="1"/>
        <charset val="2"/>
      </rPr>
      <t>W</t>
    </r>
  </si>
  <si>
    <t>Ra =  0,1.Xa</t>
  </si>
  <si>
    <t>Xa = 0,995.Za</t>
  </si>
  <si>
    <t>Za = (m.Un)^2/Scc</t>
  </si>
  <si>
    <t>Za</t>
  </si>
  <si>
    <t>Rede a montante</t>
  </si>
  <si>
    <t>Zt</t>
  </si>
  <si>
    <t>Transformador</t>
  </si>
  <si>
    <t>Rt = 0,31.Zt</t>
  </si>
  <si>
    <t>Xt = 0,95.Zt</t>
  </si>
  <si>
    <t>Zt = 
(mUn)^2.Ucc/(Sn.100)</t>
  </si>
  <si>
    <t>Zcabo1</t>
  </si>
  <si>
    <t>Cabo QGBT-D1</t>
  </si>
  <si>
    <r>
      <t xml:space="preserve">Rc1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</si>
  <si>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Xc1 = 0,08.L</t>
  </si>
  <si>
    <t>Zc1 = 
raizq(Rc1^2+Xc1^2)</t>
  </si>
  <si>
    <t>Zd1</t>
  </si>
  <si>
    <t>Disjuntor1</t>
  </si>
  <si>
    <t>Rd = 0</t>
  </si>
  <si>
    <r>
      <t>Xd = 
0,15 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/pólo</t>
    </r>
  </si>
  <si>
    <t>Zd = Xd</t>
  </si>
  <si>
    <t>Zb</t>
  </si>
  <si>
    <t>Barramento</t>
  </si>
  <si>
    <r>
      <t xml:space="preserve">Rb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</si>
  <si>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r>
      <t>Xb = 
0,15 m</t>
    </r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</rPr>
      <t>/m</t>
    </r>
  </si>
  <si>
    <t>Zb = 
raizq(Rb^2+Xb^2)</t>
  </si>
  <si>
    <t>Zd2</t>
  </si>
  <si>
    <t>Disjuntor2</t>
  </si>
  <si>
    <t>Zcabo2</t>
  </si>
  <si>
    <r>
      <t xml:space="preserve">Rc2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</si>
  <si>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Xc2 = 0,08.L</t>
  </si>
  <si>
    <t>Zc1 = 
raizq(Rc2^2+Xc2^2)</t>
  </si>
  <si>
    <t>Cmax</t>
  </si>
  <si>
    <t>Scc</t>
  </si>
  <si>
    <t>Un</t>
  </si>
  <si>
    <t>Sn</t>
  </si>
  <si>
    <t>Ucc</t>
  </si>
  <si>
    <r>
      <t>r</t>
    </r>
    <r>
      <rPr>
        <sz val="11"/>
        <color theme="1"/>
        <rFont val="Arial"/>
        <family val="2"/>
      </rPr>
      <t>cu</t>
    </r>
  </si>
  <si>
    <r>
      <rPr>
        <sz val="11"/>
        <color theme="1"/>
        <rFont val="Symbol"/>
        <family val="1"/>
        <charset val="2"/>
      </rPr>
      <t>W</t>
    </r>
    <r>
      <rPr>
        <sz val="11"/>
        <color theme="1"/>
        <rFont val="Calibri"/>
        <family val="2"/>
        <scheme val="minor"/>
      </rPr>
      <t>.mm2/m</t>
    </r>
  </si>
  <si>
    <r>
      <t>r</t>
    </r>
    <r>
      <rPr>
        <sz val="11"/>
        <color theme="1"/>
        <rFont val="Arial"/>
        <family val="2"/>
      </rPr>
      <t>al</t>
    </r>
  </si>
  <si>
    <t>L.C1</t>
  </si>
  <si>
    <t>S.C1</t>
  </si>
  <si>
    <t>L.b</t>
  </si>
  <si>
    <t>S.b</t>
  </si>
  <si>
    <t>L.C2</t>
  </si>
  <si>
    <t>S.C2</t>
  </si>
  <si>
    <t>Saída Q41</t>
  </si>
  <si>
    <r>
      <t xml:space="preserve">Rc1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.L/S/2</t>
    </r>
  </si>
  <si>
    <t>Xc1 = 0,085.L</t>
  </si>
  <si>
    <t>1//2</t>
  </si>
  <si>
    <t>d1//d2</t>
  </si>
  <si>
    <t>Zb1</t>
  </si>
  <si>
    <t>Barramento1</t>
  </si>
  <si>
    <t>2x100x10, 5m</t>
  </si>
  <si>
    <t>Zd4</t>
  </si>
  <si>
    <t>Disjuntor4</t>
  </si>
  <si>
    <t>Zcabo4</t>
  </si>
  <si>
    <t>Cabo Q4-Q40</t>
  </si>
  <si>
    <r>
      <t xml:space="preserve">Rc4 = </t>
    </r>
    <r>
      <rPr>
        <sz val="11"/>
        <color theme="1"/>
        <rFont val="Symbol"/>
        <family val="1"/>
        <charset val="2"/>
      </rPr>
      <t>r</t>
    </r>
    <r>
      <rPr>
        <sz val="11"/>
        <color theme="1"/>
        <rFont val="Calibri"/>
        <family val="2"/>
      </rPr>
      <t>.L/S</t>
    </r>
  </si>
  <si>
    <t>Xc4 = 0,08.L</t>
  </si>
  <si>
    <t>Zc1 = 
raizq(Rc4^2+Xc4^2)</t>
  </si>
  <si>
    <t>Zb2</t>
  </si>
  <si>
    <t>Barramento2</t>
  </si>
  <si>
    <t>1x15x3, 3m</t>
  </si>
  <si>
    <t>Zd41</t>
  </si>
  <si>
    <t>Disjuntor41</t>
  </si>
  <si>
    <t>Zcabo41</t>
  </si>
  <si>
    <t>Cabo Q40-Q41</t>
  </si>
  <si>
    <t>L.b1</t>
  </si>
  <si>
    <t>S.b1</t>
  </si>
  <si>
    <t>L.C3</t>
  </si>
  <si>
    <t>S.C3</t>
  </si>
  <si>
    <t>L.b2</t>
  </si>
  <si>
    <t>S.b2</t>
  </si>
  <si>
    <t>Saída Q3</t>
  </si>
  <si>
    <r>
      <t>m</t>
    </r>
    <r>
      <rPr>
        <b/>
        <sz val="11"/>
        <color theme="1"/>
        <rFont val="Symbol"/>
        <family val="1"/>
        <charset val="2"/>
      </rPr>
      <t>W</t>
    </r>
  </si>
  <si>
    <t>Zt1</t>
  </si>
  <si>
    <t>L3</t>
  </si>
  <si>
    <t>Zc1</t>
  </si>
  <si>
    <t>S3</t>
  </si>
  <si>
    <t>ucc3</t>
  </si>
  <si>
    <t>Sn3</t>
  </si>
  <si>
    <t>Zd3</t>
  </si>
  <si>
    <t>Disjuntor 3</t>
  </si>
  <si>
    <t>Lb3</t>
  </si>
  <si>
    <t>Zc3</t>
  </si>
  <si>
    <t>Cabo 3</t>
  </si>
  <si>
    <t>Sb3</t>
  </si>
  <si>
    <t>Zt3</t>
  </si>
  <si>
    <t>Transformador 3</t>
  </si>
  <si>
    <t>Zd31</t>
  </si>
  <si>
    <t>Disjuntor 31</t>
  </si>
  <si>
    <t>Zb3</t>
  </si>
  <si>
    <t>Barramento 3</t>
  </si>
  <si>
    <t>VAV</t>
  </si>
  <si>
    <t>Multicondutor</t>
  </si>
  <si>
    <t>Fixados ao tecto</t>
  </si>
  <si>
    <t>11A</t>
  </si>
  <si>
    <t>Função da temperatura ambiente</t>
  </si>
  <si>
    <t>2.ª iteração</t>
  </si>
  <si>
    <t>3.ª iteração</t>
  </si>
  <si>
    <t>Quadro 52-C4</t>
  </si>
  <si>
    <t>NSX100H 3P3D TM25D; I'r = 25 A; Im = 300 A</t>
  </si>
  <si>
    <t>XV4x16 0,6/1kV</t>
  </si>
  <si>
    <t>Fusível</t>
  </si>
  <si>
    <t>Potência instalada</t>
  </si>
  <si>
    <t>Caminho cabos perf.</t>
  </si>
  <si>
    <t>Agrupamento de cabos monocondutores</t>
  </si>
  <si>
    <t>In&gt;=16</t>
  </si>
  <si>
    <t>1.ª Iteração</t>
  </si>
  <si>
    <t>2.ª Iteração</t>
  </si>
  <si>
    <t>Fusível gG 160 A (x3) PDC 100 kA</t>
  </si>
  <si>
    <t>XV 4x70 0,6/1kV</t>
  </si>
  <si>
    <t>Balanço de potência industrial</t>
  </si>
  <si>
    <t xml:space="preserve">Us = </t>
  </si>
  <si>
    <t>Uc =</t>
  </si>
  <si>
    <t>Saída 3 - Escritório</t>
  </si>
  <si>
    <t>BALANÇO DE POTÊNCIA MONOFÁSICO</t>
  </si>
  <si>
    <t>Designação</t>
  </si>
  <si>
    <t>Obs</t>
  </si>
  <si>
    <t>Pinst (kW)</t>
  </si>
  <si>
    <r>
      <t>cos</t>
    </r>
    <r>
      <rPr>
        <sz val="11"/>
        <color theme="1"/>
        <rFont val="Symbol"/>
        <family val="1"/>
        <charset val="2"/>
      </rPr>
      <t xml:space="preserve"> j</t>
    </r>
  </si>
  <si>
    <t>Ku</t>
  </si>
  <si>
    <t>Ks</t>
  </si>
  <si>
    <t>P (kW)</t>
  </si>
  <si>
    <t>Q (kVAr)</t>
  </si>
  <si>
    <t>Tomadas</t>
  </si>
  <si>
    <t>3x(10x16)</t>
  </si>
  <si>
    <t>Aquecimento</t>
  </si>
  <si>
    <t>12x1kW</t>
  </si>
  <si>
    <t>6x16lum
(2x36W)+25%</t>
  </si>
  <si>
    <t>TOTAL</t>
  </si>
  <si>
    <t>Ib (A)</t>
  </si>
  <si>
    <t>BALANÇO DE POTÊNCIA TRIFÁSICO</t>
  </si>
  <si>
    <t>Pu (kW)</t>
  </si>
  <si>
    <t>Qu (kVAr)</t>
  </si>
  <si>
    <t>6 kW</t>
  </si>
  <si>
    <t>Ptotal (kW)</t>
  </si>
  <si>
    <t>Qtotal (kVAr)</t>
  </si>
  <si>
    <t>Stotal (kVA)</t>
  </si>
  <si>
    <t>UPS</t>
  </si>
  <si>
    <t>Iamont=18A</t>
  </si>
  <si>
    <t>Sem perdas</t>
  </si>
  <si>
    <t>Com perdas</t>
  </si>
  <si>
    <t>Considerando as cargas das saídas monofásicas repartidas sobre as 3 fases de forma equilibrada na saída do transformador.</t>
  </si>
  <si>
    <t>Saída 4 - Estação de bombagem</t>
  </si>
  <si>
    <t>Motor</t>
  </si>
  <si>
    <t>Pn (kW)</t>
  </si>
  <si>
    <t>S (kVAr)</t>
  </si>
  <si>
    <t>Ib(A)</t>
  </si>
  <si>
    <t>M1</t>
  </si>
  <si>
    <t>M2</t>
  </si>
  <si>
    <t>M3</t>
  </si>
  <si>
    <t xml:space="preserve">Ib (A) </t>
  </si>
  <si>
    <t>Saída 5 - Ventilador - extrator</t>
  </si>
  <si>
    <t>Saída 6 - Ponte rolante</t>
  </si>
  <si>
    <t>Saída 7 - Oficina</t>
  </si>
  <si>
    <t>QGBT</t>
  </si>
  <si>
    <t>Carga</t>
  </si>
  <si>
    <t>Saída</t>
  </si>
  <si>
    <t>Q (kW)</t>
  </si>
  <si>
    <t>S (kVA)</t>
  </si>
  <si>
    <t>Escritório</t>
  </si>
  <si>
    <t>Estação de bombagem</t>
  </si>
  <si>
    <t>Extrator</t>
  </si>
  <si>
    <t>Ponte rolante</t>
  </si>
  <si>
    <t>Oficina</t>
  </si>
  <si>
    <t>Reserva</t>
  </si>
  <si>
    <t>Sc (kVA)</t>
  </si>
  <si>
    <t>Sn (kVA)</t>
  </si>
  <si>
    <t>IB (A)</t>
  </si>
  <si>
    <t xml:space="preserve">TOTAL (QGBT) </t>
  </si>
  <si>
    <t>In &lt;= I'z</t>
  </si>
  <si>
    <t>1,45xI'z</t>
  </si>
  <si>
    <t>I2 &lt;= 1.45.I'z</t>
  </si>
  <si>
    <t>Ik3.max</t>
  </si>
  <si>
    <t>IK3</t>
  </si>
  <si>
    <t>d</t>
  </si>
  <si>
    <t>cm</t>
  </si>
  <si>
    <t>ltotal</t>
  </si>
  <si>
    <t>Horizontal não pintada</t>
  </si>
  <si>
    <t>Temperatura</t>
  </si>
  <si>
    <t>FCT</t>
  </si>
  <si>
    <t>Iz.min</t>
  </si>
  <si>
    <t>Iz.tabela</t>
  </si>
  <si>
    <t>60x10</t>
  </si>
  <si>
    <t>fe</t>
  </si>
  <si>
    <t>kg/cm</t>
  </si>
  <si>
    <t>Suportes</t>
  </si>
  <si>
    <t xml:space="preserve">Sequência suportes </t>
  </si>
  <si>
    <t>50+100+50</t>
  </si>
  <si>
    <t>F (topo)</t>
  </si>
  <si>
    <t>kg</t>
  </si>
  <si>
    <t>F (intermédios)</t>
  </si>
  <si>
    <t>NA</t>
  </si>
  <si>
    <t>Ressonância</t>
  </si>
  <si>
    <t>Fora da zona crítica de ressonância mecânica</t>
  </si>
  <si>
    <t>Dimensionamento de barramentos</t>
  </si>
  <si>
    <t>Factor de utilização</t>
  </si>
  <si>
    <t>CURTO-CIRCUITOS MÁXIMOS</t>
  </si>
  <si>
    <t xml:space="preserve">tft1 - tempo de fadiga térmica (IK1) 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</si>
</sst>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0"/>
    <numFmt numFmtId="167" formatCode="#,##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Symbol"/>
      <family val="1"/>
      <charset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i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right"/>
    </xf>
    <xf numFmtId="0" fontId="4" fillId="0" borderId="0" xfId="1"/>
    <xf numFmtId="0" fontId="6" fillId="0" borderId="0" xfId="1" applyFont="1"/>
    <xf numFmtId="0" fontId="4" fillId="0" borderId="0" xfId="1" applyAlignment="1">
      <alignment horizontal="center"/>
    </xf>
    <xf numFmtId="0" fontId="4" fillId="0" borderId="0" xfId="1" applyAlignment="1">
      <alignment horizontal="right"/>
    </xf>
    <xf numFmtId="0" fontId="7" fillId="0" borderId="0" xfId="0" applyFont="1"/>
    <xf numFmtId="0" fontId="8" fillId="0" borderId="0" xfId="0" applyFont="1"/>
    <xf numFmtId="0" fontId="6" fillId="3" borderId="0" xfId="1" applyFont="1" applyFill="1"/>
    <xf numFmtId="0" fontId="4" fillId="3" borderId="0" xfId="1" applyFill="1"/>
    <xf numFmtId="0" fontId="4" fillId="3" borderId="0" xfId="1" applyFill="1" applyAlignment="1">
      <alignment horizontal="center"/>
    </xf>
    <xf numFmtId="0" fontId="4" fillId="3" borderId="0" xfId="1" applyFill="1" applyAlignment="1">
      <alignment horizontal="right"/>
    </xf>
    <xf numFmtId="164" fontId="4" fillId="3" borderId="1" xfId="1" applyNumberFormat="1" applyFill="1" applyBorder="1" applyAlignment="1">
      <alignment horizontal="right"/>
    </xf>
    <xf numFmtId="2" fontId="4" fillId="3" borderId="1" xfId="1" applyNumberFormat="1" applyFill="1" applyBorder="1" applyAlignment="1">
      <alignment horizontal="right"/>
    </xf>
    <xf numFmtId="0" fontId="4" fillId="3" borderId="1" xfId="1" applyFill="1" applyBorder="1" applyAlignment="1">
      <alignment horizontal="right"/>
    </xf>
    <xf numFmtId="0" fontId="0" fillId="0" borderId="1" xfId="0" applyBorder="1"/>
    <xf numFmtId="9" fontId="0" fillId="0" borderId="1" xfId="0" applyNumberFormat="1" applyBorder="1"/>
    <xf numFmtId="165" fontId="0" fillId="0" borderId="1" xfId="0" applyNumberFormat="1" applyBorder="1"/>
    <xf numFmtId="3" fontId="4" fillId="3" borderId="1" xfId="1" applyNumberFormat="1" applyFill="1" applyBorder="1" applyAlignment="1">
      <alignment horizontal="right"/>
    </xf>
    <xf numFmtId="164" fontId="0" fillId="0" borderId="1" xfId="0" applyNumberFormat="1" applyBorder="1"/>
    <xf numFmtId="164" fontId="1" fillId="2" borderId="2" xfId="0" applyNumberFormat="1" applyFont="1" applyFill="1" applyBorder="1"/>
    <xf numFmtId="0" fontId="9" fillId="3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0" borderId="0" xfId="1" applyFont="1"/>
    <xf numFmtId="0" fontId="4" fillId="3" borderId="1" xfId="1" applyFont="1" applyFill="1" applyBorder="1" applyAlignment="1">
      <alignment horizontal="right"/>
    </xf>
    <xf numFmtId="164" fontId="4" fillId="0" borderId="0" xfId="1" applyNumberFormat="1" applyAlignment="1">
      <alignment horizontal="right"/>
    </xf>
    <xf numFmtId="1" fontId="4" fillId="0" borderId="1" xfId="1" applyNumberFormat="1" applyBorder="1" applyAlignment="1">
      <alignment horizontal="right"/>
    </xf>
    <xf numFmtId="2" fontId="4" fillId="0" borderId="1" xfId="1" applyNumberFormat="1" applyFont="1" applyBorder="1" applyAlignment="1">
      <alignment horizontal="right"/>
    </xf>
    <xf numFmtId="2" fontId="4" fillId="0" borderId="1" xfId="1" applyNumberFormat="1" applyBorder="1" applyAlignment="1">
      <alignment horizontal="right"/>
    </xf>
    <xf numFmtId="2" fontId="4" fillId="0" borderId="0" xfId="1" applyNumberFormat="1" applyAlignment="1">
      <alignment horizontal="right"/>
    </xf>
    <xf numFmtId="164" fontId="4" fillId="0" borderId="1" xfId="1" applyNumberFormat="1" applyBorder="1" applyAlignment="1">
      <alignment horizontal="right"/>
    </xf>
    <xf numFmtId="3" fontId="4" fillId="0" borderId="1" xfId="1" applyNumberFormat="1" applyBorder="1" applyAlignment="1">
      <alignment horizontal="right"/>
    </xf>
    <xf numFmtId="0" fontId="4" fillId="0" borderId="0" xfId="1" applyFont="1" applyAlignment="1">
      <alignment horizontal="center"/>
    </xf>
    <xf numFmtId="4" fontId="4" fillId="0" borderId="1" xfId="1" applyNumberFormat="1" applyBorder="1" applyAlignment="1">
      <alignment horizontal="right"/>
    </xf>
    <xf numFmtId="2" fontId="4" fillId="0" borderId="0" xfId="1" applyNumberForma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Border="1" applyAlignment="1">
      <alignment horizontal="right"/>
    </xf>
    <xf numFmtId="0" fontId="6" fillId="0" borderId="0" xfId="1" applyFont="1" applyAlignment="1">
      <alignment horizontal="center"/>
    </xf>
    <xf numFmtId="0" fontId="6" fillId="0" borderId="1" xfId="1" applyFont="1" applyBorder="1" applyAlignment="1">
      <alignment horizontal="right"/>
    </xf>
    <xf numFmtId="0" fontId="4" fillId="0" borderId="0" xfId="1" quotePrefix="1"/>
    <xf numFmtId="0" fontId="4" fillId="0" borderId="1" xfId="1" applyBorder="1" applyAlignment="1">
      <alignment horizontal="right"/>
    </xf>
    <xf numFmtId="0" fontId="6" fillId="0" borderId="0" xfId="1" applyFont="1" applyFill="1"/>
    <xf numFmtId="0" fontId="4" fillId="0" borderId="0" xfId="1" applyFill="1"/>
    <xf numFmtId="0" fontId="9" fillId="0" borderId="0" xfId="1" applyFont="1" applyFill="1" applyAlignment="1">
      <alignment horizontal="center"/>
    </xf>
    <xf numFmtId="166" fontId="4" fillId="0" borderId="0" xfId="1" applyNumberFormat="1" applyAlignment="1">
      <alignment horizontal="right"/>
    </xf>
    <xf numFmtId="0" fontId="9" fillId="0" borderId="0" xfId="1" applyFont="1"/>
    <xf numFmtId="9" fontId="4" fillId="0" borderId="1" xfId="1" applyNumberFormat="1" applyBorder="1" applyAlignment="1">
      <alignment horizontal="right"/>
    </xf>
    <xf numFmtId="165" fontId="0" fillId="0" borderId="0" xfId="2" applyNumberFormat="1" applyFont="1" applyAlignment="1">
      <alignment horizontal="right"/>
    </xf>
    <xf numFmtId="0" fontId="9" fillId="0" borderId="0" xfId="1" applyFont="1" applyAlignment="1">
      <alignment horizontal="center"/>
    </xf>
    <xf numFmtId="4" fontId="4" fillId="0" borderId="0" xfId="1" applyNumberFormat="1" applyAlignment="1">
      <alignment horizontal="right"/>
    </xf>
    <xf numFmtId="3" fontId="4" fillId="0" borderId="0" xfId="1" applyNumberFormat="1" applyAlignment="1">
      <alignment horizontal="right"/>
    </xf>
    <xf numFmtId="167" fontId="4" fillId="0" borderId="0" xfId="1" applyNumberFormat="1" applyAlignment="1">
      <alignment horizontal="right"/>
    </xf>
    <xf numFmtId="2" fontId="4" fillId="2" borderId="1" xfId="1" applyNumberFormat="1" applyFill="1" applyBorder="1" applyAlignment="1">
      <alignment horizontal="right"/>
    </xf>
    <xf numFmtId="0" fontId="13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0" xfId="0" applyBorder="1" applyAlignment="1">
      <alignment horizontal="right"/>
    </xf>
    <xf numFmtId="0" fontId="0" fillId="0" borderId="7" xfId="0" applyBorder="1" applyAlignment="1">
      <alignment horizontal="right"/>
    </xf>
    <xf numFmtId="0" fontId="13" fillId="0" borderId="0" xfId="0" applyFont="1" applyBorder="1"/>
    <xf numFmtId="0" fontId="1" fillId="2" borderId="0" xfId="0" applyFont="1" applyFill="1" applyBorder="1" applyAlignment="1">
      <alignment horizontal="right"/>
    </xf>
    <xf numFmtId="0" fontId="1" fillId="2" borderId="7" xfId="0" applyFont="1" applyFill="1" applyBorder="1" applyAlignment="1">
      <alignment horizontal="right"/>
    </xf>
    <xf numFmtId="166" fontId="1" fillId="2" borderId="0" xfId="0" applyNumberFormat="1" applyFont="1" applyFill="1" applyBorder="1" applyAlignment="1">
      <alignment horizontal="right"/>
    </xf>
    <xf numFmtId="166" fontId="1" fillId="2" borderId="7" xfId="0" applyNumberFormat="1" applyFont="1" applyFill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13" fillId="0" borderId="9" xfId="0" applyFont="1" applyBorder="1"/>
    <xf numFmtId="166" fontId="1" fillId="2" borderId="9" xfId="0" applyNumberFormat="1" applyFont="1" applyFill="1" applyBorder="1" applyAlignment="1">
      <alignment horizontal="right"/>
    </xf>
    <xf numFmtId="166" fontId="1" fillId="2" borderId="10" xfId="0" applyNumberFormat="1" applyFont="1" applyFill="1" applyBorder="1" applyAlignment="1">
      <alignment horizontal="right"/>
    </xf>
    <xf numFmtId="1" fontId="4" fillId="3" borderId="1" xfId="1" applyNumberFormat="1" applyFill="1" applyBorder="1" applyAlignment="1">
      <alignment horizontal="right"/>
    </xf>
    <xf numFmtId="164" fontId="4" fillId="0" borderId="11" xfId="1" applyNumberFormat="1" applyBorder="1" applyAlignment="1">
      <alignment horizontal="right"/>
    </xf>
    <xf numFmtId="165" fontId="0" fillId="0" borderId="0" xfId="3" applyNumberFormat="1" applyFont="1" applyAlignment="1">
      <alignment horizontal="right"/>
    </xf>
    <xf numFmtId="1" fontId="4" fillId="0" borderId="0" xfId="1" applyNumberFormat="1" applyAlignment="1">
      <alignment horizontal="right"/>
    </xf>
    <xf numFmtId="0" fontId="14" fillId="0" borderId="0" xfId="0" applyFont="1"/>
    <xf numFmtId="0" fontId="16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/>
    <xf numFmtId="165" fontId="1" fillId="2" borderId="1" xfId="4" applyNumberFormat="1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0" fontId="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0" xfId="0" applyFill="1"/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0" fillId="0" borderId="1" xfId="0" applyNumberFormat="1" applyBorder="1"/>
    <xf numFmtId="166" fontId="0" fillId="2" borderId="0" xfId="0" applyNumberFormat="1" applyFill="1"/>
    <xf numFmtId="166" fontId="0" fillId="0" borderId="0" xfId="0" applyNumberFormat="1" applyFill="1"/>
    <xf numFmtId="9" fontId="0" fillId="2" borderId="0" xfId="0" applyNumberFormat="1" applyFill="1"/>
    <xf numFmtId="9" fontId="0" fillId="0" borderId="0" xfId="0" applyNumberFormat="1" applyFill="1"/>
    <xf numFmtId="0" fontId="8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64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18" fillId="5" borderId="0" xfId="0" applyFont="1" applyFill="1"/>
    <xf numFmtId="0" fontId="18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6" borderId="1" xfId="0" applyNumberForma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2" xfId="0" applyFont="1" applyFill="1" applyBorder="1" applyAlignment="1"/>
    <xf numFmtId="0" fontId="1" fillId="2" borderId="13" xfId="0" applyFont="1" applyFill="1" applyBorder="1" applyAlignment="1"/>
    <xf numFmtId="0" fontId="1" fillId="2" borderId="14" xfId="0" applyFont="1" applyFill="1" applyBorder="1" applyAlignment="1"/>
    <xf numFmtId="0" fontId="1" fillId="2" borderId="1" xfId="0" applyFont="1" applyFill="1" applyBorder="1" applyAlignment="1">
      <alignment horizontal="center" vertical="top"/>
    </xf>
    <xf numFmtId="0" fontId="0" fillId="0" borderId="1" xfId="0" applyFill="1" applyBorder="1"/>
    <xf numFmtId="9" fontId="0" fillId="0" borderId="15" xfId="4" applyFont="1" applyBorder="1"/>
    <xf numFmtId="164" fontId="1" fillId="2" borderId="15" xfId="0" applyNumberFormat="1" applyFont="1" applyFill="1" applyBorder="1"/>
    <xf numFmtId="0" fontId="0" fillId="0" borderId="16" xfId="0" applyFill="1" applyBorder="1"/>
    <xf numFmtId="0" fontId="0" fillId="8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wrapText="1"/>
    </xf>
    <xf numFmtId="2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" fontId="0" fillId="9" borderId="1" xfId="0" applyNumberFormat="1" applyFill="1" applyBorder="1"/>
    <xf numFmtId="0" fontId="0" fillId="2" borderId="0" xfId="0" applyFill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0" borderId="17" xfId="0" applyBorder="1"/>
    <xf numFmtId="0" fontId="0" fillId="0" borderId="19" xfId="0" applyBorder="1"/>
    <xf numFmtId="2" fontId="0" fillId="0" borderId="21" xfId="0" applyNumberFormat="1" applyBorder="1"/>
    <xf numFmtId="2" fontId="0" fillId="0" borderId="22" xfId="0" applyNumberFormat="1" applyBorder="1"/>
    <xf numFmtId="2" fontId="1" fillId="0" borderId="23" xfId="0" applyNumberFormat="1" applyFont="1" applyBorder="1"/>
    <xf numFmtId="0" fontId="0" fillId="0" borderId="21" xfId="0" applyBorder="1"/>
    <xf numFmtId="0" fontId="0" fillId="0" borderId="22" xfId="0" applyBorder="1"/>
    <xf numFmtId="0" fontId="2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2" fontId="0" fillId="0" borderId="24" xfId="0" applyNumberFormat="1" applyBorder="1"/>
    <xf numFmtId="2" fontId="0" fillId="0" borderId="26" xfId="0" applyNumberFormat="1" applyBorder="1"/>
    <xf numFmtId="2" fontId="0" fillId="0" borderId="25" xfId="0" applyNumberFormat="1" applyBorder="1"/>
    <xf numFmtId="2" fontId="1" fillId="0" borderId="27" xfId="0" applyNumberFormat="1" applyFont="1" applyBorder="1"/>
    <xf numFmtId="0" fontId="3" fillId="2" borderId="0" xfId="0" applyFont="1" applyFill="1"/>
    <xf numFmtId="3" fontId="0" fillId="5" borderId="1" xfId="0" applyNumberFormat="1" applyFill="1" applyBorder="1"/>
    <xf numFmtId="2" fontId="1" fillId="2" borderId="1" xfId="0" applyNumberFormat="1" applyFont="1" applyFill="1" applyBorder="1"/>
    <xf numFmtId="0" fontId="1" fillId="2" borderId="0" xfId="0" applyFont="1" applyFill="1" applyBorder="1" applyAlignment="1">
      <alignment horizontal="center"/>
    </xf>
    <xf numFmtId="2" fontId="0" fillId="0" borderId="0" xfId="0" applyNumberFormat="1" applyBorder="1"/>
    <xf numFmtId="2" fontId="1" fillId="2" borderId="0" xfId="0" applyNumberFormat="1" applyFont="1" applyFill="1" applyBorder="1"/>
    <xf numFmtId="167" fontId="4" fillId="0" borderId="1" xfId="1" applyNumberFormat="1" applyBorder="1" applyAlignment="1">
      <alignment horizontal="right"/>
    </xf>
    <xf numFmtId="167" fontId="4" fillId="0" borderId="0" xfId="1" applyNumberFormat="1" applyBorder="1" applyAlignment="1">
      <alignment horizontal="right"/>
    </xf>
    <xf numFmtId="2" fontId="4" fillId="0" borderId="0" xfId="1" applyNumberFormat="1" applyFill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0" borderId="1" xfId="0" applyBorder="1" applyAlignment="1">
      <alignment wrapText="1"/>
    </xf>
    <xf numFmtId="2" fontId="1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0" xfId="0" applyFont="1" applyFill="1" applyBorder="1"/>
    <xf numFmtId="2" fontId="1" fillId="0" borderId="0" xfId="0" applyNumberFormat="1" applyFont="1" applyFill="1" applyBorder="1"/>
    <xf numFmtId="0" fontId="0" fillId="0" borderId="0" xfId="0" applyAlignment="1">
      <alignment vertical="center"/>
    </xf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2" fontId="1" fillId="0" borderId="0" xfId="0" applyNumberFormat="1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6" xfId="0" applyFill="1" applyBorder="1"/>
    <xf numFmtId="2" fontId="0" fillId="0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3" fontId="0" fillId="0" borderId="1" xfId="0" applyNumberFormat="1" applyBorder="1"/>
    <xf numFmtId="9" fontId="1" fillId="2" borderId="1" xfId="4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/>
    <xf numFmtId="9" fontId="1" fillId="0" borderId="1" xfId="4" applyFont="1" applyFill="1" applyBorder="1" applyAlignment="1">
      <alignment horizontal="center"/>
    </xf>
    <xf numFmtId="3" fontId="1" fillId="0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5" borderId="1" xfId="0" applyNumberFormat="1" applyFill="1" applyBorder="1"/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5">
    <cellStyle name="Normal" xfId="0" builtinId="0"/>
    <cellStyle name="Normal 2" xfId="1"/>
    <cellStyle name="Percentagem" xfId="4" builtinId="5"/>
    <cellStyle name="Percentagem 2" xfId="3"/>
    <cellStyle name="Percentagem 2 2" xfId="2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4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3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2.emf"/><Relationship Id="rId2" Type="http://schemas.openxmlformats.org/officeDocument/2006/relationships/image" Target="../media/image11.emf"/><Relationship Id="rId1" Type="http://schemas.openxmlformats.org/officeDocument/2006/relationships/image" Target="../media/image10.emf"/><Relationship Id="rId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7</xdr:row>
      <xdr:rowOff>152401</xdr:rowOff>
    </xdr:from>
    <xdr:to>
      <xdr:col>9</xdr:col>
      <xdr:colOff>409575</xdr:colOff>
      <xdr:row>11</xdr:row>
      <xdr:rowOff>114301</xdr:rowOff>
    </xdr:to>
    <xdr:sp macro="" textlink="">
      <xdr:nvSpPr>
        <xdr:cNvPr id="2" name="Canto dobrado 1"/>
        <xdr:cNvSpPr/>
      </xdr:nvSpPr>
      <xdr:spPr>
        <a:xfrm>
          <a:off x="4305300" y="1295401"/>
          <a:ext cx="1419225" cy="723900"/>
        </a:xfrm>
        <a:prstGeom prst="foldedCorner">
          <a:avLst/>
        </a:prstGeom>
        <a:solidFill>
          <a:srgbClr val="FFFF00"/>
        </a:solidFill>
        <a:ln w="12700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pt-PT" sz="1100">
              <a:solidFill>
                <a:sysClr val="windowText" lastClr="000000"/>
              </a:solidFill>
            </a:rPr>
            <a:t>Corrente de arranque típica entre 6 e 7x a corrente nominal</a:t>
          </a:r>
        </a:p>
      </xdr:txBody>
    </xdr:sp>
    <xdr:clientData/>
  </xdr:twoCellAnchor>
  <xdr:twoCellAnchor editAs="oneCell">
    <xdr:from>
      <xdr:col>1</xdr:col>
      <xdr:colOff>85723</xdr:colOff>
      <xdr:row>23</xdr:row>
      <xdr:rowOff>128542</xdr:rowOff>
    </xdr:from>
    <xdr:to>
      <xdr:col>9</xdr:col>
      <xdr:colOff>521097</xdr:colOff>
      <xdr:row>33</xdr:row>
      <xdr:rowOff>19050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5323" y="4319542"/>
          <a:ext cx="5721749" cy="17955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274289</xdr:colOff>
      <xdr:row>38</xdr:row>
      <xdr:rowOff>85724</xdr:rowOff>
    </xdr:from>
    <xdr:to>
      <xdr:col>14</xdr:col>
      <xdr:colOff>371474</xdr:colOff>
      <xdr:row>72</xdr:row>
      <xdr:rowOff>28574</xdr:rowOff>
    </xdr:to>
    <xdr:pic>
      <xdr:nvPicPr>
        <xdr:cNvPr id="2" name="Picture 10" descr="Image1_di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56214" y="6305549"/>
          <a:ext cx="4364385" cy="5476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1200563</xdr:colOff>
      <xdr:row>30</xdr:row>
      <xdr:rowOff>40011</xdr:rowOff>
    </xdr:from>
    <xdr:to>
      <xdr:col>8</xdr:col>
      <xdr:colOff>1161414</xdr:colOff>
      <xdr:row>55</xdr:row>
      <xdr:rowOff>142876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48309"/>
        <a:stretch>
          <a:fillRect/>
        </a:stretch>
      </xdr:blipFill>
      <xdr:spPr bwMode="auto">
        <a:xfrm>
          <a:off x="7586123" y="5541651"/>
          <a:ext cx="3466051" cy="42938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47625</xdr:rowOff>
    </xdr:from>
    <xdr:to>
      <xdr:col>4</xdr:col>
      <xdr:colOff>182880</xdr:colOff>
      <xdr:row>15</xdr:row>
      <xdr:rowOff>352425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1475" y="238125"/>
          <a:ext cx="2202180" cy="3371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</xdr:col>
      <xdr:colOff>9525</xdr:colOff>
      <xdr:row>8</xdr:row>
      <xdr:rowOff>152755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0"/>
          <a:ext cx="3009900" cy="14862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1123950</xdr:colOff>
      <xdr:row>26</xdr:row>
      <xdr:rowOff>104775</xdr:rowOff>
    </xdr:from>
    <xdr:to>
      <xdr:col>11</xdr:col>
      <xdr:colOff>104775</xdr:colOff>
      <xdr:row>50</xdr:row>
      <xdr:rowOff>47455</xdr:rowOff>
    </xdr:to>
    <xdr:pic>
      <xdr:nvPicPr>
        <xdr:cNvPr id="2" name="Imagem 1" descr="Image2_disj3"/>
        <xdr:cNvPicPr/>
      </xdr:nvPicPr>
      <xdr:blipFill>
        <a:blip xmlns:r="http://schemas.openxmlformats.org/officeDocument/2006/relationships" r:embed="rId1" cstate="print"/>
        <a:srcRect l="50135"/>
        <a:stretch>
          <a:fillRect/>
        </a:stretch>
      </xdr:blipFill>
      <xdr:spPr bwMode="auto">
        <a:xfrm>
          <a:off x="8591550" y="4381500"/>
          <a:ext cx="2952750" cy="38288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333374</xdr:colOff>
      <xdr:row>33</xdr:row>
      <xdr:rowOff>12246</xdr:rowOff>
    </xdr:from>
    <xdr:to>
      <xdr:col>14</xdr:col>
      <xdr:colOff>269227</xdr:colOff>
      <xdr:row>53</xdr:row>
      <xdr:rowOff>76200</xdr:rowOff>
    </xdr:to>
    <xdr:pic>
      <xdr:nvPicPr>
        <xdr:cNvPr id="2" name="Imagem 1" descr="Image1_cab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43824" y="5422446"/>
          <a:ext cx="4812653" cy="3302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DRESA/estga/LICENCIATURA/concecao_IE/AULAS/resolucao_fichas_v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"/>
      <sheetName val="12.1"/>
      <sheetName val="12.2"/>
      <sheetName val="14"/>
      <sheetName val="07.1"/>
      <sheetName val="07.2"/>
      <sheetName val="07.3"/>
      <sheetName val="07.4"/>
      <sheetName val="airo4"/>
      <sheetName val="09"/>
      <sheetName val="ELT"/>
      <sheetName val="gerador"/>
      <sheetName val="Folha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8.bin"/><Relationship Id="rId5" Type="http://schemas.openxmlformats.org/officeDocument/2006/relationships/oleObject" Target="../embeddings/oleObject7.bin"/><Relationship Id="rId4" Type="http://schemas.openxmlformats.org/officeDocument/2006/relationships/oleObject" Target="../embeddings/oleObject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Relationship Id="rId6" Type="http://schemas.openxmlformats.org/officeDocument/2006/relationships/oleObject" Target="../embeddings/oleObject11.bin"/><Relationship Id="rId5" Type="http://schemas.openxmlformats.org/officeDocument/2006/relationships/oleObject" Target="../embeddings/oleObject10.bin"/><Relationship Id="rId4" Type="http://schemas.openxmlformats.org/officeDocument/2006/relationships/oleObject" Target="../embeddings/oleObject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23"/>
  <sheetViews>
    <sheetView topLeftCell="A12" workbookViewId="0">
      <selection activeCell="F6" sqref="F6"/>
    </sheetView>
  </sheetViews>
  <sheetFormatPr defaultRowHeight="15"/>
  <cols>
    <col min="2" max="2" width="4.85546875" customWidth="1"/>
    <col min="3" max="3" width="20" bestFit="1" customWidth="1"/>
    <col min="4" max="4" width="8.7109375" style="1" customWidth="1"/>
    <col min="5" max="5" width="9.140625" style="1"/>
  </cols>
  <sheetData>
    <row r="2" spans="2:6" ht="18.75">
      <c r="B2" s="9" t="s">
        <v>7</v>
      </c>
    </row>
    <row r="3" spans="2:6" ht="18.75">
      <c r="B3" s="9"/>
    </row>
    <row r="5" spans="2:6">
      <c r="C5" t="s">
        <v>5</v>
      </c>
      <c r="D5" s="1" t="s">
        <v>15</v>
      </c>
      <c r="E5" s="1" t="s">
        <v>0</v>
      </c>
      <c r="F5">
        <v>30</v>
      </c>
    </row>
    <row r="6" spans="2:6">
      <c r="C6" t="s">
        <v>10</v>
      </c>
      <c r="D6" s="1" t="s">
        <v>16</v>
      </c>
      <c r="E6" s="1" t="s">
        <v>11</v>
      </c>
      <c r="F6">
        <v>400</v>
      </c>
    </row>
    <row r="7" spans="2:6">
      <c r="C7" t="s">
        <v>6</v>
      </c>
      <c r="D7" s="8" t="s">
        <v>18</v>
      </c>
      <c r="E7" s="1" t="s">
        <v>1</v>
      </c>
      <c r="F7">
        <v>0.88</v>
      </c>
    </row>
    <row r="8" spans="2:6">
      <c r="C8" t="s">
        <v>2</v>
      </c>
      <c r="D8" s="1" t="s">
        <v>2</v>
      </c>
      <c r="E8" s="1" t="s">
        <v>3</v>
      </c>
      <c r="F8" s="2">
        <v>0.85</v>
      </c>
    </row>
    <row r="9" spans="2:6">
      <c r="C9" t="s">
        <v>17</v>
      </c>
      <c r="D9" s="1" t="s">
        <v>13</v>
      </c>
      <c r="E9" s="1" t="s">
        <v>3</v>
      </c>
      <c r="F9" s="4">
        <v>7</v>
      </c>
    </row>
    <row r="11" spans="2:6">
      <c r="C11" t="s">
        <v>4</v>
      </c>
      <c r="D11" s="1" t="s">
        <v>19</v>
      </c>
      <c r="E11" s="1" t="s">
        <v>0</v>
      </c>
      <c r="F11" s="3">
        <f>F5/F7</f>
        <v>34.090909090909093</v>
      </c>
    </row>
    <row r="13" spans="2:6">
      <c r="C13" t="s">
        <v>8</v>
      </c>
      <c r="D13" s="1" t="s">
        <v>20</v>
      </c>
      <c r="E13" s="1" t="s">
        <v>9</v>
      </c>
      <c r="F13" s="3">
        <f>F11*1000/(SQRT(3)*F6*F8)</f>
        <v>57.889398648692435</v>
      </c>
    </row>
    <row r="15" spans="2:6">
      <c r="C15" t="s">
        <v>12</v>
      </c>
      <c r="D15" s="1" t="s">
        <v>21</v>
      </c>
      <c r="E15" s="1" t="s">
        <v>9</v>
      </c>
      <c r="F15" s="3">
        <f>F13*F9</f>
        <v>405.22579054084702</v>
      </c>
    </row>
    <row r="17" spans="3:6">
      <c r="C17" s="5" t="s">
        <v>14</v>
      </c>
      <c r="D17" s="6" t="s">
        <v>22</v>
      </c>
      <c r="E17" s="6" t="s">
        <v>9</v>
      </c>
      <c r="F17" s="7">
        <f>F13+F15/3</f>
        <v>192.96466216230812</v>
      </c>
    </row>
    <row r="23" spans="3:6">
      <c r="C23" t="s">
        <v>23</v>
      </c>
    </row>
  </sheetData>
  <pageMargins left="0.7" right="0.7" top="0.75" bottom="0.75" header="0.3" footer="0.3"/>
  <pageSetup paperSize="9" orientation="portrait" r:id="rId1"/>
  <drawing r:id="rId2"/>
  <legacyDrawing r:id="rId3"/>
  <oleObjects>
    <oleObject progId="Equation.3" shapeId="1025" r:id="rId4"/>
    <oleObject progId="Equation.3" shapeId="1026" r:id="rId5"/>
    <oleObject progId="Equation.3" shapeId="1027" r:id="rId6"/>
    <oleObject progId="Equation.3" shapeId="1031" r:id="rId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2:D17"/>
  <sheetViews>
    <sheetView workbookViewId="0">
      <selection activeCell="C7" sqref="C7"/>
    </sheetView>
  </sheetViews>
  <sheetFormatPr defaultRowHeight="15"/>
  <cols>
    <col min="2" max="4" width="24.5703125" customWidth="1"/>
  </cols>
  <sheetData>
    <row r="2" spans="2:4" ht="43.15" customHeight="1">
      <c r="B2" s="220" t="s">
        <v>33</v>
      </c>
      <c r="C2" s="220"/>
      <c r="D2" s="220"/>
    </row>
    <row r="4" spans="2:4" ht="30">
      <c r="B4" s="10" t="s">
        <v>24</v>
      </c>
      <c r="C4" s="11" t="s">
        <v>26</v>
      </c>
      <c r="D4" s="11" t="s">
        <v>28</v>
      </c>
    </row>
    <row r="5" spans="2:4">
      <c r="B5" s="10" t="s">
        <v>25</v>
      </c>
      <c r="C5" s="10" t="s">
        <v>30</v>
      </c>
      <c r="D5" s="10" t="s">
        <v>31</v>
      </c>
    </row>
    <row r="7" spans="2:4">
      <c r="B7" s="10">
        <v>10</v>
      </c>
      <c r="C7" s="12">
        <f t="shared" ref="C7:C14" si="0">B7*1.13</f>
        <v>11.299999999999999</v>
      </c>
      <c r="D7" s="14">
        <f>B7*1.45</f>
        <v>14.5</v>
      </c>
    </row>
    <row r="8" spans="2:4">
      <c r="B8" s="10">
        <v>16</v>
      </c>
      <c r="C8" s="12">
        <f t="shared" si="0"/>
        <v>18.079999999999998</v>
      </c>
      <c r="D8" s="13">
        <f t="shared" ref="D8:D17" si="1">B8*1.45</f>
        <v>23.2</v>
      </c>
    </row>
    <row r="9" spans="2:4">
      <c r="B9" s="10">
        <v>20</v>
      </c>
      <c r="C9" s="12">
        <f t="shared" si="0"/>
        <v>22.599999999999998</v>
      </c>
      <c r="D9" s="13">
        <f t="shared" si="1"/>
        <v>29</v>
      </c>
    </row>
    <row r="10" spans="2:4">
      <c r="B10" s="10">
        <v>25</v>
      </c>
      <c r="C10" s="12">
        <f t="shared" si="0"/>
        <v>28.249999999999996</v>
      </c>
      <c r="D10" s="13">
        <f t="shared" si="1"/>
        <v>36.25</v>
      </c>
    </row>
    <row r="11" spans="2:4">
      <c r="B11" s="10">
        <v>32</v>
      </c>
      <c r="C11" s="12">
        <f t="shared" si="0"/>
        <v>36.159999999999997</v>
      </c>
      <c r="D11" s="13">
        <f t="shared" si="1"/>
        <v>46.4</v>
      </c>
    </row>
    <row r="12" spans="2:4">
      <c r="B12" s="10">
        <v>40</v>
      </c>
      <c r="C12" s="12">
        <f t="shared" si="0"/>
        <v>45.199999999999996</v>
      </c>
      <c r="D12" s="13">
        <f t="shared" si="1"/>
        <v>58</v>
      </c>
    </row>
    <row r="13" spans="2:4">
      <c r="B13" s="10">
        <v>50</v>
      </c>
      <c r="C13" s="12">
        <f t="shared" si="0"/>
        <v>56.499999999999993</v>
      </c>
      <c r="D13" s="13">
        <f t="shared" si="1"/>
        <v>72.5</v>
      </c>
    </row>
    <row r="14" spans="2:4">
      <c r="B14" s="10">
        <v>63</v>
      </c>
      <c r="C14" s="12">
        <f t="shared" si="0"/>
        <v>71.19</v>
      </c>
      <c r="D14" s="13">
        <f t="shared" si="1"/>
        <v>91.35</v>
      </c>
    </row>
    <row r="15" spans="2:4">
      <c r="B15" s="10">
        <v>80</v>
      </c>
      <c r="C15" s="12">
        <f>B15*1.13</f>
        <v>90.399999999999991</v>
      </c>
      <c r="D15" s="13">
        <f t="shared" si="1"/>
        <v>116</v>
      </c>
    </row>
    <row r="16" spans="2:4">
      <c r="B16" s="10">
        <v>100</v>
      </c>
      <c r="C16" s="12">
        <f>B16*1.13</f>
        <v>112.99999999999999</v>
      </c>
      <c r="D16" s="13">
        <f t="shared" si="1"/>
        <v>145</v>
      </c>
    </row>
    <row r="17" spans="2:4">
      <c r="B17" s="10">
        <v>125</v>
      </c>
      <c r="C17" s="12">
        <f>B17*1.13</f>
        <v>141.25</v>
      </c>
      <c r="D17" s="13">
        <f t="shared" si="1"/>
        <v>181.25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D31"/>
  <sheetViews>
    <sheetView topLeftCell="A4" workbookViewId="0">
      <selection activeCell="D13" sqref="D13"/>
    </sheetView>
  </sheetViews>
  <sheetFormatPr defaultRowHeight="15"/>
  <cols>
    <col min="2" max="4" width="24.5703125" customWidth="1"/>
  </cols>
  <sheetData>
    <row r="2" spans="2:4" ht="43.15" customHeight="1">
      <c r="B2" s="220" t="s">
        <v>32</v>
      </c>
      <c r="C2" s="220"/>
      <c r="D2" s="220"/>
    </row>
    <row r="4" spans="2:4" ht="30">
      <c r="B4" s="10" t="s">
        <v>24</v>
      </c>
      <c r="C4" s="11" t="s">
        <v>26</v>
      </c>
      <c r="D4" s="11" t="s">
        <v>28</v>
      </c>
    </row>
    <row r="5" spans="2:4">
      <c r="B5" s="10" t="s">
        <v>25</v>
      </c>
      <c r="C5" s="10" t="s">
        <v>27</v>
      </c>
      <c r="D5" s="10" t="s">
        <v>29</v>
      </c>
    </row>
    <row r="7" spans="2:4">
      <c r="B7" s="10">
        <v>2</v>
      </c>
      <c r="C7" s="12">
        <f t="shared" ref="C7:C11" si="0">D7/1.28</f>
        <v>3.28125</v>
      </c>
      <c r="D7" s="13">
        <f>IF(B7&lt;=4,B7*2.1,IF(B7&lt;=16,B7*1.9,B7*1.6))</f>
        <v>4.2</v>
      </c>
    </row>
    <row r="8" spans="2:4">
      <c r="B8" s="10">
        <v>4</v>
      </c>
      <c r="C8" s="12">
        <f t="shared" si="0"/>
        <v>6.5625</v>
      </c>
      <c r="D8" s="13">
        <f t="shared" ref="D8:D31" si="1">IF(B8&lt;=4,B8*2.1,IF(B8&lt;=16,B8*1.9,B8*1.6))</f>
        <v>8.4</v>
      </c>
    </row>
    <row r="9" spans="2:4">
      <c r="B9" s="10">
        <v>6</v>
      </c>
      <c r="C9" s="12">
        <f t="shared" si="0"/>
        <v>8.9062499999999982</v>
      </c>
      <c r="D9" s="13">
        <f t="shared" si="1"/>
        <v>11.399999999999999</v>
      </c>
    </row>
    <row r="10" spans="2:4">
      <c r="B10" s="10">
        <v>8</v>
      </c>
      <c r="C10" s="12">
        <f t="shared" si="0"/>
        <v>11.875</v>
      </c>
      <c r="D10" s="13">
        <f t="shared" si="1"/>
        <v>15.2</v>
      </c>
    </row>
    <row r="11" spans="2:4">
      <c r="B11" s="10">
        <v>10</v>
      </c>
      <c r="C11" s="12">
        <f t="shared" si="0"/>
        <v>14.84375</v>
      </c>
      <c r="D11" s="13">
        <f t="shared" si="1"/>
        <v>19</v>
      </c>
    </row>
    <row r="12" spans="2:4">
      <c r="B12" s="10">
        <v>12</v>
      </c>
      <c r="C12" s="12">
        <f>D12/1.28</f>
        <v>17.812499999999996</v>
      </c>
      <c r="D12" s="13">
        <f t="shared" si="1"/>
        <v>22.799999999999997</v>
      </c>
    </row>
    <row r="13" spans="2:4">
      <c r="B13" s="10">
        <v>16</v>
      </c>
      <c r="C13" s="12">
        <f t="shared" ref="C13:C31" si="2">B13*1.25</f>
        <v>20</v>
      </c>
      <c r="D13" s="13">
        <f t="shared" si="1"/>
        <v>30.4</v>
      </c>
    </row>
    <row r="14" spans="2:4">
      <c r="B14" s="10">
        <v>20</v>
      </c>
      <c r="C14" s="12">
        <f t="shared" si="2"/>
        <v>25</v>
      </c>
      <c r="D14" s="13">
        <f t="shared" si="1"/>
        <v>32</v>
      </c>
    </row>
    <row r="15" spans="2:4">
      <c r="B15" s="10">
        <v>25</v>
      </c>
      <c r="C15" s="12">
        <f t="shared" si="2"/>
        <v>31.25</v>
      </c>
      <c r="D15" s="13">
        <f t="shared" si="1"/>
        <v>40</v>
      </c>
    </row>
    <row r="16" spans="2:4">
      <c r="B16" s="10">
        <v>32</v>
      </c>
      <c r="C16" s="12">
        <f t="shared" si="2"/>
        <v>40</v>
      </c>
      <c r="D16" s="13">
        <f t="shared" si="1"/>
        <v>51.2</v>
      </c>
    </row>
    <row r="17" spans="2:4">
      <c r="B17" s="10">
        <v>40</v>
      </c>
      <c r="C17" s="12">
        <f t="shared" si="2"/>
        <v>50</v>
      </c>
      <c r="D17" s="13">
        <f t="shared" si="1"/>
        <v>64</v>
      </c>
    </row>
    <row r="18" spans="2:4">
      <c r="B18" s="10">
        <v>50</v>
      </c>
      <c r="C18" s="12">
        <f t="shared" si="2"/>
        <v>62.5</v>
      </c>
      <c r="D18" s="13">
        <f t="shared" si="1"/>
        <v>80</v>
      </c>
    </row>
    <row r="19" spans="2:4">
      <c r="B19" s="10">
        <v>63</v>
      </c>
      <c r="C19" s="12">
        <f t="shared" si="2"/>
        <v>78.75</v>
      </c>
      <c r="D19" s="13">
        <f t="shared" si="1"/>
        <v>100.80000000000001</v>
      </c>
    </row>
    <row r="20" spans="2:4">
      <c r="B20" s="10">
        <v>80</v>
      </c>
      <c r="C20" s="12">
        <f t="shared" si="2"/>
        <v>100</v>
      </c>
      <c r="D20" s="13">
        <f t="shared" si="1"/>
        <v>128</v>
      </c>
    </row>
    <row r="21" spans="2:4">
      <c r="B21" s="10">
        <v>100</v>
      </c>
      <c r="C21" s="12">
        <f t="shared" si="2"/>
        <v>125</v>
      </c>
      <c r="D21" s="13">
        <f t="shared" si="1"/>
        <v>160</v>
      </c>
    </row>
    <row r="22" spans="2:4">
      <c r="B22" s="10">
        <v>125</v>
      </c>
      <c r="C22" s="12">
        <f t="shared" si="2"/>
        <v>156.25</v>
      </c>
      <c r="D22" s="13">
        <f t="shared" si="1"/>
        <v>200</v>
      </c>
    </row>
    <row r="23" spans="2:4">
      <c r="B23" s="10">
        <v>160</v>
      </c>
      <c r="C23" s="12">
        <f t="shared" si="2"/>
        <v>200</v>
      </c>
      <c r="D23" s="13">
        <f t="shared" si="1"/>
        <v>256</v>
      </c>
    </row>
    <row r="24" spans="2:4">
      <c r="B24" s="10">
        <v>200</v>
      </c>
      <c r="C24" s="12">
        <f t="shared" si="2"/>
        <v>250</v>
      </c>
      <c r="D24" s="13">
        <f t="shared" si="1"/>
        <v>320</v>
      </c>
    </row>
    <row r="25" spans="2:4">
      <c r="B25" s="10">
        <v>250</v>
      </c>
      <c r="C25" s="12">
        <f t="shared" si="2"/>
        <v>312.5</v>
      </c>
      <c r="D25" s="13">
        <f t="shared" si="1"/>
        <v>400</v>
      </c>
    </row>
    <row r="26" spans="2:4">
      <c r="B26" s="10">
        <v>315</v>
      </c>
      <c r="C26" s="12">
        <f t="shared" si="2"/>
        <v>393.75</v>
      </c>
      <c r="D26" s="13">
        <f t="shared" si="1"/>
        <v>504</v>
      </c>
    </row>
    <row r="27" spans="2:4">
      <c r="B27" s="10">
        <v>400</v>
      </c>
      <c r="C27" s="12">
        <f t="shared" si="2"/>
        <v>500</v>
      </c>
      <c r="D27" s="13">
        <f t="shared" si="1"/>
        <v>640</v>
      </c>
    </row>
    <row r="28" spans="2:4">
      <c r="B28" s="10">
        <v>500</v>
      </c>
      <c r="C28" s="12">
        <f t="shared" si="2"/>
        <v>625</v>
      </c>
      <c r="D28" s="13">
        <f t="shared" si="1"/>
        <v>800</v>
      </c>
    </row>
    <row r="29" spans="2:4">
      <c r="B29" s="10">
        <v>630</v>
      </c>
      <c r="C29" s="12">
        <f t="shared" si="2"/>
        <v>787.5</v>
      </c>
      <c r="D29" s="13">
        <f t="shared" si="1"/>
        <v>1008</v>
      </c>
    </row>
    <row r="30" spans="2:4">
      <c r="B30" s="10">
        <v>800</v>
      </c>
      <c r="C30" s="12">
        <f t="shared" si="2"/>
        <v>1000</v>
      </c>
      <c r="D30" s="13">
        <f t="shared" si="1"/>
        <v>1280</v>
      </c>
    </row>
    <row r="31" spans="2:4">
      <c r="B31" s="10">
        <v>1000</v>
      </c>
      <c r="C31" s="12">
        <f t="shared" si="2"/>
        <v>1250</v>
      </c>
      <c r="D31" s="13">
        <f t="shared" si="1"/>
        <v>1600</v>
      </c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>
      <selection activeCell="A2" sqref="A2"/>
    </sheetView>
  </sheetViews>
  <sheetFormatPr defaultRowHeight="15"/>
  <cols>
    <col min="3" max="3" width="23.5703125" bestFit="1" customWidth="1"/>
    <col min="4" max="4" width="12.7109375" customWidth="1"/>
    <col min="5" max="5" width="11.85546875" customWidth="1"/>
    <col min="6" max="7" width="11" customWidth="1"/>
  </cols>
  <sheetData>
    <row r="1" spans="1:7" ht="21">
      <c r="A1" s="95" t="s">
        <v>228</v>
      </c>
    </row>
    <row r="4" spans="1:7">
      <c r="C4" t="s">
        <v>196</v>
      </c>
      <c r="F4" s="71" t="s">
        <v>76</v>
      </c>
      <c r="G4" s="71" t="s">
        <v>189</v>
      </c>
    </row>
    <row r="5" spans="1:7" ht="17.25">
      <c r="C5" t="s">
        <v>194</v>
      </c>
      <c r="D5" s="70" t="s">
        <v>190</v>
      </c>
      <c r="E5" s="69" t="s">
        <v>188</v>
      </c>
      <c r="F5" s="71">
        <v>1.7240999999999999E-2</v>
      </c>
      <c r="G5" s="71">
        <v>2.8264000000000001E-2</v>
      </c>
    </row>
    <row r="6" spans="1:7" ht="17.25">
      <c r="C6" t="s">
        <v>192</v>
      </c>
      <c r="D6" s="70" t="s">
        <v>191</v>
      </c>
      <c r="E6" t="s">
        <v>193</v>
      </c>
      <c r="F6" s="71">
        <v>3.9300000000000003E-3</v>
      </c>
      <c r="G6" s="71">
        <v>4.0299999999999997E-3</v>
      </c>
    </row>
    <row r="7" spans="1:7">
      <c r="F7" s="71"/>
      <c r="G7" s="71"/>
    </row>
    <row r="8" spans="1:7" ht="15.75" thickBot="1"/>
    <row r="9" spans="1:7">
      <c r="C9" s="72" t="s">
        <v>202</v>
      </c>
      <c r="D9" s="73"/>
      <c r="E9" s="73"/>
      <c r="F9" s="73"/>
      <c r="G9" s="74"/>
    </row>
    <row r="10" spans="1:7">
      <c r="C10" s="75"/>
      <c r="D10" s="76"/>
      <c r="E10" s="76"/>
      <c r="F10" s="76"/>
      <c r="G10" s="77"/>
    </row>
    <row r="11" spans="1:7">
      <c r="C11" s="78" t="s">
        <v>195</v>
      </c>
      <c r="D11" s="76"/>
      <c r="E11" s="76"/>
      <c r="F11" s="79" t="s">
        <v>197</v>
      </c>
      <c r="G11" s="80" t="s">
        <v>198</v>
      </c>
    </row>
    <row r="12" spans="1:7" ht="17.25">
      <c r="C12" s="78" t="s">
        <v>204</v>
      </c>
      <c r="D12" s="81" t="s">
        <v>200</v>
      </c>
      <c r="E12" s="76" t="s">
        <v>193</v>
      </c>
      <c r="F12" s="79">
        <v>70</v>
      </c>
      <c r="G12" s="80">
        <v>90</v>
      </c>
    </row>
    <row r="13" spans="1:7">
      <c r="C13" s="78"/>
      <c r="D13" s="76"/>
      <c r="E13" s="76"/>
      <c r="F13" s="79"/>
      <c r="G13" s="80"/>
    </row>
    <row r="14" spans="1:7">
      <c r="C14" s="78" t="s">
        <v>203</v>
      </c>
      <c r="D14" s="76"/>
      <c r="E14" s="76"/>
      <c r="F14" s="82" t="s">
        <v>76</v>
      </c>
      <c r="G14" s="83" t="s">
        <v>189</v>
      </c>
    </row>
    <row r="15" spans="1:7">
      <c r="C15" s="78" t="s">
        <v>197</v>
      </c>
      <c r="D15" s="76"/>
      <c r="E15" s="81" t="s">
        <v>188</v>
      </c>
      <c r="F15" s="84">
        <f>F5*(1+F6*(F12-20))</f>
        <v>2.0628856499999997E-2</v>
      </c>
      <c r="G15" s="85">
        <f>G5*(1+G6*(F12-20))</f>
        <v>3.3959196000000004E-2</v>
      </c>
    </row>
    <row r="16" spans="1:7" ht="15.75" thickBot="1">
      <c r="C16" s="86" t="s">
        <v>198</v>
      </c>
      <c r="D16" s="87"/>
      <c r="E16" s="88" t="s">
        <v>188</v>
      </c>
      <c r="F16" s="89">
        <f>F5*(1+F6*(G12-20))</f>
        <v>2.1983999100000002E-2</v>
      </c>
      <c r="G16" s="90">
        <f>G5*(1+G6*(G12-20))</f>
        <v>3.6237274399999998E-2</v>
      </c>
    </row>
    <row r="19" spans="3:7" ht="15.75" thickBot="1"/>
    <row r="20" spans="3:7">
      <c r="C20" s="72" t="s">
        <v>227</v>
      </c>
      <c r="D20" s="73"/>
      <c r="E20" s="73"/>
      <c r="F20" s="73"/>
      <c r="G20" s="74"/>
    </row>
    <row r="21" spans="3:7">
      <c r="C21" s="75"/>
      <c r="D21" s="76"/>
      <c r="E21" s="76"/>
      <c r="F21" s="76"/>
      <c r="G21" s="77"/>
    </row>
    <row r="22" spans="3:7">
      <c r="C22" s="78" t="s">
        <v>195</v>
      </c>
      <c r="D22" s="76"/>
      <c r="E22" s="76"/>
      <c r="F22" s="79" t="s">
        <v>197</v>
      </c>
      <c r="G22" s="80" t="s">
        <v>198</v>
      </c>
    </row>
    <row r="23" spans="3:7" ht="17.25">
      <c r="C23" s="78" t="s">
        <v>199</v>
      </c>
      <c r="D23" s="81" t="s">
        <v>200</v>
      </c>
      <c r="E23" s="76" t="s">
        <v>193</v>
      </c>
      <c r="F23" s="79">
        <v>70</v>
      </c>
      <c r="G23" s="80">
        <v>90</v>
      </c>
    </row>
    <row r="24" spans="3:7">
      <c r="C24" s="78"/>
      <c r="D24" s="76"/>
      <c r="E24" s="76"/>
      <c r="F24" s="79"/>
      <c r="G24" s="80"/>
    </row>
    <row r="25" spans="3:7">
      <c r="C25" s="78" t="s">
        <v>201</v>
      </c>
      <c r="D25" s="76"/>
      <c r="E25" s="76"/>
      <c r="F25" s="82" t="s">
        <v>76</v>
      </c>
      <c r="G25" s="83" t="s">
        <v>189</v>
      </c>
    </row>
    <row r="26" spans="3:7">
      <c r="C26" s="78" t="s">
        <v>197</v>
      </c>
      <c r="D26" s="76"/>
      <c r="E26" s="81" t="s">
        <v>188</v>
      </c>
      <c r="F26" s="84">
        <f>F5*(1+F6*(F23-20))</f>
        <v>2.0628856499999997E-2</v>
      </c>
      <c r="G26" s="85">
        <f>G5*(1+G6*(F23-20))</f>
        <v>3.3959196000000004E-2</v>
      </c>
    </row>
    <row r="27" spans="3:7" ht="15.75" thickBot="1">
      <c r="C27" s="86" t="s">
        <v>198</v>
      </c>
      <c r="D27" s="87"/>
      <c r="E27" s="88" t="s">
        <v>188</v>
      </c>
      <c r="F27" s="89">
        <f>F5*(1+F6*(G23-20))</f>
        <v>2.1983999100000002E-2</v>
      </c>
      <c r="G27" s="90">
        <f>G5*(1+G6*(G23-20))</f>
        <v>3.6237274399999998E-2</v>
      </c>
    </row>
    <row r="30" spans="3:7" ht="15.75" thickBot="1"/>
    <row r="31" spans="3:7">
      <c r="C31" s="72" t="s">
        <v>571</v>
      </c>
      <c r="D31" s="73"/>
      <c r="E31" s="73"/>
      <c r="F31" s="73"/>
      <c r="G31" s="74"/>
    </row>
    <row r="32" spans="3:7">
      <c r="C32" s="75"/>
      <c r="D32" s="76"/>
      <c r="E32" s="76"/>
      <c r="F32" s="76"/>
      <c r="G32" s="77"/>
    </row>
    <row r="33" spans="3:7">
      <c r="C33" s="78" t="s">
        <v>195</v>
      </c>
      <c r="D33" s="76"/>
      <c r="E33" s="76"/>
      <c r="F33" s="79" t="s">
        <v>197</v>
      </c>
      <c r="G33" s="80" t="s">
        <v>198</v>
      </c>
    </row>
    <row r="34" spans="3:7" ht="17.25">
      <c r="C34" s="78" t="s">
        <v>199</v>
      </c>
      <c r="D34" s="81" t="s">
        <v>200</v>
      </c>
      <c r="E34" s="76" t="s">
        <v>193</v>
      </c>
      <c r="F34" s="79">
        <v>20</v>
      </c>
      <c r="G34" s="80">
        <v>20</v>
      </c>
    </row>
    <row r="35" spans="3:7">
      <c r="C35" s="78"/>
      <c r="D35" s="76"/>
      <c r="E35" s="76"/>
      <c r="F35" s="79"/>
      <c r="G35" s="80"/>
    </row>
    <row r="36" spans="3:7">
      <c r="C36" s="78" t="s">
        <v>201</v>
      </c>
      <c r="D36" s="76"/>
      <c r="E36" s="76"/>
      <c r="F36" s="82" t="s">
        <v>76</v>
      </c>
      <c r="G36" s="83" t="s">
        <v>189</v>
      </c>
    </row>
    <row r="37" spans="3:7">
      <c r="C37" s="78" t="s">
        <v>197</v>
      </c>
      <c r="D37" s="76"/>
      <c r="E37" s="81" t="s">
        <v>188</v>
      </c>
      <c r="F37" s="84">
        <f>F5*(1+F6*(F34-20))</f>
        <v>1.7240999999999999E-2</v>
      </c>
      <c r="G37" s="85">
        <f>G5*(1+G6*(F34-20))</f>
        <v>2.8264000000000001E-2</v>
      </c>
    </row>
    <row r="38" spans="3:7" ht="15.75" thickBot="1">
      <c r="C38" s="86" t="s">
        <v>198</v>
      </c>
      <c r="D38" s="87"/>
      <c r="E38" s="88" t="s">
        <v>188</v>
      </c>
      <c r="F38" s="89">
        <f>F5*(1+F6*(G34-20))</f>
        <v>1.7240999999999999E-2</v>
      </c>
      <c r="G38" s="90">
        <f>G5*(1+G6*(G34-20))</f>
        <v>2.8264000000000001E-2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7"/>
  <sheetViews>
    <sheetView topLeftCell="A57" workbookViewId="0">
      <selection activeCell="E85" sqref="E85"/>
    </sheetView>
  </sheetViews>
  <sheetFormatPr defaultColWidth="9.140625" defaultRowHeight="12.75"/>
  <cols>
    <col min="1" max="1" width="9.140625" style="18"/>
    <col min="2" max="2" width="7.28515625" style="19" customWidth="1"/>
    <col min="3" max="3" width="48.7109375" style="18" bestFit="1" customWidth="1"/>
    <col min="4" max="4" width="9.140625" style="20"/>
    <col min="5" max="5" width="19" style="21" bestFit="1" customWidth="1"/>
    <col min="6" max="6" width="14.28515625" style="18" bestFit="1" customWidth="1"/>
    <col min="7" max="16384" width="9.140625" style="18"/>
  </cols>
  <sheetData>
    <row r="1" spans="1:5" s="15" customFormat="1" ht="18">
      <c r="A1" s="15" t="s">
        <v>34</v>
      </c>
      <c r="D1" s="16"/>
      <c r="E1" s="17"/>
    </row>
    <row r="4" spans="1:5">
      <c r="B4" s="24" t="s">
        <v>37</v>
      </c>
      <c r="C4" s="25"/>
      <c r="D4" s="26"/>
      <c r="E4" s="27"/>
    </row>
    <row r="5" spans="1:5">
      <c r="B5" s="24"/>
      <c r="C5" s="25" t="s">
        <v>205</v>
      </c>
      <c r="D5" s="26" t="s">
        <v>0</v>
      </c>
      <c r="E5" s="30">
        <v>212</v>
      </c>
    </row>
    <row r="6" spans="1:5">
      <c r="B6" s="24"/>
      <c r="C6" s="25" t="s">
        <v>206</v>
      </c>
      <c r="D6" s="26" t="s">
        <v>1</v>
      </c>
      <c r="E6" s="30">
        <v>77</v>
      </c>
    </row>
    <row r="7" spans="1:5">
      <c r="B7" s="24"/>
      <c r="C7" s="25" t="s">
        <v>40</v>
      </c>
      <c r="D7" s="26" t="s">
        <v>3</v>
      </c>
      <c r="E7" s="30">
        <v>0.98</v>
      </c>
    </row>
    <row r="8" spans="1:5">
      <c r="B8" s="24" t="s">
        <v>46</v>
      </c>
      <c r="C8" s="25"/>
      <c r="D8" s="26"/>
      <c r="E8" s="27"/>
    </row>
    <row r="9" spans="1:5">
      <c r="B9" s="24"/>
      <c r="C9" s="25" t="s">
        <v>47</v>
      </c>
      <c r="D9" s="26" t="s">
        <v>11</v>
      </c>
      <c r="E9" s="30">
        <v>400</v>
      </c>
    </row>
    <row r="10" spans="1:5">
      <c r="B10" s="24"/>
      <c r="C10" s="25" t="s">
        <v>49</v>
      </c>
      <c r="D10" s="26" t="s">
        <v>50</v>
      </c>
      <c r="E10" s="30">
        <v>50</v>
      </c>
    </row>
    <row r="11" spans="1:5">
      <c r="B11" s="24"/>
      <c r="C11" s="25" t="s">
        <v>55</v>
      </c>
      <c r="D11" s="26" t="s">
        <v>1</v>
      </c>
      <c r="E11" s="30">
        <v>4.2450000000000001</v>
      </c>
    </row>
    <row r="12" spans="1:5">
      <c r="B12" s="24"/>
      <c r="C12" s="25" t="s">
        <v>57</v>
      </c>
      <c r="D12" s="26" t="s">
        <v>39</v>
      </c>
      <c r="E12" s="34">
        <v>1000</v>
      </c>
    </row>
    <row r="13" spans="1:5">
      <c r="B13" s="24"/>
      <c r="C13" s="25" t="s">
        <v>207</v>
      </c>
      <c r="D13" s="26" t="s">
        <v>127</v>
      </c>
      <c r="E13" s="29">
        <f>E12/SQRT(3)/E9/E11*100</f>
        <v>34.001782637787144</v>
      </c>
    </row>
    <row r="14" spans="1:5">
      <c r="B14" s="24"/>
      <c r="C14" s="25" t="s">
        <v>61</v>
      </c>
      <c r="D14" s="26" t="s">
        <v>3</v>
      </c>
      <c r="E14" s="91">
        <v>1</v>
      </c>
    </row>
    <row r="15" spans="1:5">
      <c r="B15" s="24"/>
      <c r="C15" s="25" t="s">
        <v>63</v>
      </c>
      <c r="D15" s="26" t="s">
        <v>3</v>
      </c>
      <c r="E15" s="29">
        <v>1.05</v>
      </c>
    </row>
    <row r="16" spans="1:5">
      <c r="B16" s="24"/>
      <c r="C16" s="25" t="s">
        <v>65</v>
      </c>
      <c r="D16" s="26"/>
      <c r="E16" s="29">
        <v>0.95</v>
      </c>
    </row>
    <row r="17" spans="2:6">
      <c r="B17" s="24"/>
      <c r="C17" s="25" t="s">
        <v>66</v>
      </c>
      <c r="D17" s="26" t="s">
        <v>3</v>
      </c>
      <c r="E17" s="29">
        <v>1.05</v>
      </c>
    </row>
    <row r="18" spans="2:6">
      <c r="B18" s="24"/>
      <c r="C18" s="25" t="s">
        <v>68</v>
      </c>
      <c r="D18" s="26" t="s">
        <v>3</v>
      </c>
      <c r="E18" s="30" t="s">
        <v>69</v>
      </c>
    </row>
    <row r="19" spans="2:6">
      <c r="B19" s="24" t="s">
        <v>70</v>
      </c>
      <c r="C19" s="25"/>
      <c r="D19" s="26"/>
      <c r="E19" s="27"/>
    </row>
    <row r="20" spans="2:6">
      <c r="B20" s="24"/>
      <c r="C20" s="25" t="s">
        <v>72</v>
      </c>
      <c r="D20" s="26" t="s">
        <v>3</v>
      </c>
      <c r="E20" s="30" t="s">
        <v>73</v>
      </c>
    </row>
    <row r="21" spans="2:6">
      <c r="B21" s="24"/>
      <c r="C21" s="25" t="s">
        <v>75</v>
      </c>
      <c r="D21" s="26" t="s">
        <v>3</v>
      </c>
      <c r="E21" s="30" t="s">
        <v>76</v>
      </c>
    </row>
    <row r="22" spans="2:6">
      <c r="B22" s="24"/>
      <c r="C22" s="25" t="s">
        <v>77</v>
      </c>
      <c r="D22" s="37" t="s">
        <v>78</v>
      </c>
      <c r="E22" s="30">
        <v>1.7240999999999999E-2</v>
      </c>
      <c r="F22" s="18" t="s">
        <v>79</v>
      </c>
    </row>
    <row r="23" spans="2:6">
      <c r="B23" s="24"/>
      <c r="C23" s="25" t="s">
        <v>80</v>
      </c>
      <c r="D23" s="38" t="s">
        <v>81</v>
      </c>
      <c r="E23" s="30">
        <v>3.9300000000000003E-3</v>
      </c>
      <c r="F23" s="18" t="s">
        <v>79</v>
      </c>
    </row>
    <row r="24" spans="2:6">
      <c r="B24" s="24"/>
      <c r="C24" s="25" t="s">
        <v>82</v>
      </c>
      <c r="D24" s="38" t="s">
        <v>83</v>
      </c>
      <c r="E24" s="30">
        <v>90</v>
      </c>
      <c r="F24" s="18" t="s">
        <v>208</v>
      </c>
    </row>
    <row r="25" spans="2:6">
      <c r="B25" s="24"/>
      <c r="C25" s="25" t="s">
        <v>85</v>
      </c>
      <c r="D25" s="26" t="s">
        <v>3</v>
      </c>
      <c r="E25" s="30" t="s">
        <v>86</v>
      </c>
      <c r="F25" s="18" t="s">
        <v>87</v>
      </c>
    </row>
    <row r="26" spans="2:6">
      <c r="B26" s="24"/>
      <c r="C26" s="25" t="s">
        <v>88</v>
      </c>
      <c r="D26" s="26" t="s">
        <v>3</v>
      </c>
      <c r="E26" s="30">
        <v>143</v>
      </c>
      <c r="F26" s="18" t="s">
        <v>89</v>
      </c>
    </row>
    <row r="27" spans="2:6">
      <c r="B27" s="24"/>
      <c r="C27" s="25" t="s">
        <v>90</v>
      </c>
      <c r="D27" s="26" t="s">
        <v>91</v>
      </c>
      <c r="E27" s="30">
        <v>0.08</v>
      </c>
    </row>
    <row r="28" spans="2:6">
      <c r="B28" s="24"/>
      <c r="C28" s="25" t="s">
        <v>92</v>
      </c>
      <c r="D28" s="26" t="s">
        <v>3</v>
      </c>
      <c r="E28" s="30" t="s">
        <v>93</v>
      </c>
    </row>
    <row r="29" spans="2:6">
      <c r="B29" s="24"/>
      <c r="C29" s="25" t="s">
        <v>94</v>
      </c>
      <c r="D29" s="26" t="s">
        <v>3</v>
      </c>
      <c r="E29" s="30" t="s">
        <v>209</v>
      </c>
    </row>
    <row r="30" spans="2:6">
      <c r="B30" s="24"/>
      <c r="C30" s="25" t="s">
        <v>97</v>
      </c>
      <c r="D30" s="26" t="s">
        <v>3</v>
      </c>
      <c r="E30" s="30" t="s">
        <v>210</v>
      </c>
    </row>
    <row r="31" spans="2:6">
      <c r="B31" s="24"/>
      <c r="C31" s="25" t="s">
        <v>98</v>
      </c>
      <c r="D31" s="26" t="s">
        <v>99</v>
      </c>
      <c r="E31" s="30" t="s">
        <v>100</v>
      </c>
    </row>
    <row r="32" spans="2:6">
      <c r="B32" s="24"/>
      <c r="C32" s="25" t="s">
        <v>101</v>
      </c>
      <c r="D32" s="26" t="s">
        <v>3</v>
      </c>
      <c r="E32" s="30">
        <v>3</v>
      </c>
    </row>
    <row r="33" spans="2:6">
      <c r="B33" s="24" t="s">
        <v>102</v>
      </c>
      <c r="C33" s="25"/>
      <c r="D33" s="26"/>
      <c r="E33" s="27"/>
    </row>
    <row r="34" spans="2:6">
      <c r="B34" s="24"/>
      <c r="C34" s="25" t="s">
        <v>103</v>
      </c>
      <c r="D34" s="26" t="s">
        <v>83</v>
      </c>
      <c r="E34" s="30">
        <v>45</v>
      </c>
    </row>
    <row r="35" spans="2:6">
      <c r="B35" s="24"/>
      <c r="C35" s="25" t="s">
        <v>104</v>
      </c>
      <c r="D35" s="26" t="s">
        <v>83</v>
      </c>
      <c r="E35" s="30">
        <v>30</v>
      </c>
    </row>
    <row r="36" spans="2:6">
      <c r="B36" s="24"/>
      <c r="C36" s="25" t="s">
        <v>105</v>
      </c>
      <c r="D36" s="26" t="s">
        <v>106</v>
      </c>
      <c r="E36" s="30">
        <v>1.2</v>
      </c>
    </row>
    <row r="38" spans="2:6">
      <c r="B38" s="19" t="s">
        <v>22</v>
      </c>
      <c r="C38" s="18" t="s">
        <v>107</v>
      </c>
      <c r="D38" s="20" t="s">
        <v>9</v>
      </c>
      <c r="E38" s="41">
        <f>E5*E6/100/E7/SQRT(3)/E9*1000</f>
        <v>240.42514781253703</v>
      </c>
    </row>
    <row r="39" spans="2:6">
      <c r="C39" s="18" t="s">
        <v>108</v>
      </c>
      <c r="D39" s="20" t="s">
        <v>3</v>
      </c>
      <c r="E39" s="42">
        <v>61</v>
      </c>
      <c r="F39" s="18" t="s">
        <v>109</v>
      </c>
    </row>
    <row r="40" spans="2:6">
      <c r="C40" s="18" t="s">
        <v>110</v>
      </c>
      <c r="D40" s="20" t="s">
        <v>3</v>
      </c>
      <c r="E40" s="44" t="s">
        <v>111</v>
      </c>
      <c r="F40" s="18" t="s">
        <v>109</v>
      </c>
    </row>
    <row r="42" spans="2:6">
      <c r="B42" s="19" t="s">
        <v>112</v>
      </c>
    </row>
    <row r="43" spans="2:6">
      <c r="C43" s="18" t="s">
        <v>211</v>
      </c>
      <c r="D43" s="20" t="s">
        <v>3</v>
      </c>
      <c r="E43" s="44">
        <v>0.93</v>
      </c>
      <c r="F43" s="18" t="s">
        <v>114</v>
      </c>
    </row>
    <row r="44" spans="2:6">
      <c r="C44" s="18" t="s">
        <v>212</v>
      </c>
      <c r="D44" s="20" t="s">
        <v>3</v>
      </c>
      <c r="E44" s="44">
        <v>0.94</v>
      </c>
      <c r="F44" s="18" t="s">
        <v>213</v>
      </c>
    </row>
    <row r="45" spans="2:6">
      <c r="C45" s="18" t="s">
        <v>214</v>
      </c>
      <c r="D45" s="20" t="s">
        <v>3</v>
      </c>
      <c r="E45" s="44">
        <v>0.8</v>
      </c>
      <c r="F45" s="18" t="s">
        <v>134</v>
      </c>
    </row>
    <row r="46" spans="2:6">
      <c r="C46" s="18" t="s">
        <v>117</v>
      </c>
      <c r="D46" s="20" t="s">
        <v>3</v>
      </c>
      <c r="E46" s="45">
        <f>E43*E44*E45</f>
        <v>0.69935999999999998</v>
      </c>
    </row>
    <row r="47" spans="2:6">
      <c r="B47" s="19" t="s">
        <v>118</v>
      </c>
      <c r="E47" s="41"/>
    </row>
    <row r="48" spans="2:6">
      <c r="C48" s="18" t="s">
        <v>119</v>
      </c>
      <c r="D48" s="20" t="s">
        <v>9</v>
      </c>
      <c r="E48" s="42">
        <v>250</v>
      </c>
    </row>
    <row r="49" spans="2:6">
      <c r="C49" s="18" t="s">
        <v>120</v>
      </c>
      <c r="D49" s="20" t="s">
        <v>9</v>
      </c>
      <c r="E49" s="46">
        <v>244</v>
      </c>
    </row>
    <row r="50" spans="2:6">
      <c r="C50" s="18" t="s">
        <v>122</v>
      </c>
      <c r="D50" s="20" t="s">
        <v>9</v>
      </c>
      <c r="E50" s="47">
        <f>10*E48</f>
        <v>2500</v>
      </c>
    </row>
    <row r="51" spans="2:6">
      <c r="C51" s="39" t="s">
        <v>123</v>
      </c>
      <c r="D51" s="48" t="s">
        <v>3</v>
      </c>
      <c r="E51" s="49">
        <v>1.3</v>
      </c>
      <c r="F51" s="39" t="s">
        <v>124</v>
      </c>
    </row>
    <row r="52" spans="2:6">
      <c r="C52" s="18" t="s">
        <v>125</v>
      </c>
      <c r="D52" s="20" t="s">
        <v>9</v>
      </c>
      <c r="E52" s="41">
        <f>E51*E49</f>
        <v>317.2</v>
      </c>
    </row>
    <row r="53" spans="2:6">
      <c r="C53" s="18" t="s">
        <v>126</v>
      </c>
      <c r="D53" s="20" t="s">
        <v>127</v>
      </c>
      <c r="E53" s="46">
        <v>36</v>
      </c>
      <c r="F53" s="39" t="s">
        <v>128</v>
      </c>
    </row>
    <row r="54" spans="2:6">
      <c r="C54" s="18" t="s">
        <v>129</v>
      </c>
      <c r="D54" s="20" t="s">
        <v>3</v>
      </c>
      <c r="E54" s="44" t="s">
        <v>3</v>
      </c>
    </row>
    <row r="55" spans="2:6">
      <c r="B55" s="19" t="s">
        <v>131</v>
      </c>
    </row>
    <row r="56" spans="2:6">
      <c r="C56" s="18" t="s">
        <v>215</v>
      </c>
      <c r="D56" s="20" t="s">
        <v>9</v>
      </c>
      <c r="E56" s="92">
        <f>E49/E46</f>
        <v>348.89041409288495</v>
      </c>
    </row>
    <row r="57" spans="2:6">
      <c r="C57" s="19" t="s">
        <v>133</v>
      </c>
      <c r="D57" s="53" t="s">
        <v>99</v>
      </c>
      <c r="E57" s="54">
        <v>150</v>
      </c>
      <c r="F57" s="18" t="s">
        <v>134</v>
      </c>
    </row>
    <row r="58" spans="2:6">
      <c r="C58" s="18" t="s">
        <v>136</v>
      </c>
      <c r="D58" s="20" t="s">
        <v>99</v>
      </c>
      <c r="E58" s="56">
        <f>E57</f>
        <v>150</v>
      </c>
      <c r="F58" s="18" t="s">
        <v>137</v>
      </c>
    </row>
    <row r="59" spans="2:6">
      <c r="C59" s="18" t="s">
        <v>138</v>
      </c>
      <c r="D59" s="20" t="s">
        <v>9</v>
      </c>
      <c r="E59" s="56">
        <v>387</v>
      </c>
      <c r="F59" s="18" t="s">
        <v>216</v>
      </c>
    </row>
    <row r="60" spans="2:6">
      <c r="C60" s="18" t="s">
        <v>139</v>
      </c>
      <c r="D60" s="20" t="s">
        <v>9</v>
      </c>
      <c r="E60" s="41">
        <f>E59*E46</f>
        <v>270.65231999999997</v>
      </c>
    </row>
    <row r="61" spans="2:6">
      <c r="C61" s="18" t="s">
        <v>140</v>
      </c>
      <c r="D61" s="20" t="s">
        <v>9</v>
      </c>
      <c r="E61" s="41">
        <f>1.45*E60</f>
        <v>392.44586399999997</v>
      </c>
    </row>
    <row r="62" spans="2:6">
      <c r="B62" s="19" t="s">
        <v>141</v>
      </c>
    </row>
    <row r="63" spans="2:6">
      <c r="C63" s="18" t="s">
        <v>217</v>
      </c>
      <c r="D63" s="20" t="s">
        <v>143</v>
      </c>
      <c r="E63" s="21" t="str">
        <f>IF(E38&lt;=E49,"OK!","!!!!!!!!!")</f>
        <v>OK!</v>
      </c>
    </row>
    <row r="64" spans="2:6">
      <c r="C64" s="18" t="s">
        <v>218</v>
      </c>
      <c r="D64" s="20" t="s">
        <v>143</v>
      </c>
      <c r="E64" s="21" t="str">
        <f>IF(E49&lt;=E60,"OK!","!!!!!!!!!")</f>
        <v>OK!</v>
      </c>
    </row>
    <row r="65" spans="2:6">
      <c r="C65" s="18" t="s">
        <v>145</v>
      </c>
      <c r="D65" s="20" t="s">
        <v>143</v>
      </c>
      <c r="E65" s="21" t="str">
        <f>IF(E52&lt;=E61,"OK!","!!!!!!!!!")</f>
        <v>OK!</v>
      </c>
    </row>
    <row r="66" spans="2:6">
      <c r="B66" s="19" t="s">
        <v>146</v>
      </c>
    </row>
    <row r="67" spans="2:6" s="58" customFormat="1">
      <c r="B67" s="57"/>
      <c r="C67" s="58" t="s">
        <v>147</v>
      </c>
      <c r="D67" s="59" t="s">
        <v>78</v>
      </c>
      <c r="E67" s="60">
        <f>E22*(1+E23*(E24-20))</f>
        <v>2.1983999100000002E-2</v>
      </c>
    </row>
    <row r="68" spans="2:6">
      <c r="C68" s="61" t="s">
        <v>148</v>
      </c>
      <c r="D68" s="20" t="s">
        <v>1</v>
      </c>
      <c r="E68" s="62">
        <v>0.05</v>
      </c>
      <c r="F68" s="18" t="s">
        <v>149</v>
      </c>
    </row>
    <row r="69" spans="2:6">
      <c r="C69" s="18" t="s">
        <v>150</v>
      </c>
      <c r="D69" s="20" t="s">
        <v>11</v>
      </c>
      <c r="E69" s="41">
        <f>(E67*E10/E57*E7+0.08/1000*E10*SIN(ACOS(E7)))*E38</f>
        <v>1.9179747041322535</v>
      </c>
    </row>
    <row r="70" spans="2:6" ht="15">
      <c r="C70" s="61" t="s">
        <v>151</v>
      </c>
      <c r="D70" s="20" t="s">
        <v>1</v>
      </c>
      <c r="E70" s="93">
        <f>E69*SQRT(3)/E9</f>
        <v>8.3050740879723698E-3</v>
      </c>
    </row>
    <row r="71" spans="2:6">
      <c r="C71" s="18" t="s">
        <v>152</v>
      </c>
      <c r="D71" s="20" t="s">
        <v>143</v>
      </c>
      <c r="E71" s="21" t="str">
        <f>IF(E70&lt;=E68,"OK!","!!!!!!!!!")</f>
        <v>OK!</v>
      </c>
    </row>
    <row r="72" spans="2:6">
      <c r="B72" s="19" t="s">
        <v>153</v>
      </c>
    </row>
    <row r="73" spans="2:6">
      <c r="C73" s="18" t="s">
        <v>229</v>
      </c>
      <c r="D73" s="64" t="s">
        <v>155</v>
      </c>
      <c r="E73" s="45">
        <f>E16*E17*E9/SQRT(3)/E13</f>
        <v>6.7750200000000014</v>
      </c>
    </row>
    <row r="74" spans="2:6">
      <c r="C74" s="18" t="s">
        <v>158</v>
      </c>
      <c r="D74" s="64" t="s">
        <v>155</v>
      </c>
      <c r="E74" s="45">
        <f>E67*E10*(1/E57+1/E58)*1000</f>
        <v>14.655999400000001</v>
      </c>
    </row>
    <row r="75" spans="2:6">
      <c r="C75" s="18" t="s">
        <v>159</v>
      </c>
      <c r="D75" s="64" t="s">
        <v>155</v>
      </c>
      <c r="E75" s="45">
        <f>E67*E10*2/E57*1000</f>
        <v>14.655999399999999</v>
      </c>
    </row>
    <row r="76" spans="2:6">
      <c r="C76" s="18" t="s">
        <v>219</v>
      </c>
      <c r="D76" s="64" t="s">
        <v>155</v>
      </c>
      <c r="E76" s="45">
        <f>E27*E10*2</f>
        <v>8</v>
      </c>
    </row>
    <row r="77" spans="2:6">
      <c r="C77" s="18" t="s">
        <v>163</v>
      </c>
      <c r="D77" s="64" t="s">
        <v>155</v>
      </c>
      <c r="E77" s="45">
        <f>E73+SQRT((E74)^2+(E76)^2)</f>
        <v>23.472274816669728</v>
      </c>
    </row>
    <row r="78" spans="2:6">
      <c r="C78" s="18" t="s">
        <v>164</v>
      </c>
      <c r="D78" s="64" t="s">
        <v>155</v>
      </c>
      <c r="E78" s="45">
        <f>2*E73+SQRT((E75)^2+(E76)^2)</f>
        <v>30.247294816669726</v>
      </c>
    </row>
    <row r="79" spans="2:6">
      <c r="C79" s="18" t="s">
        <v>166</v>
      </c>
      <c r="D79" s="20" t="s">
        <v>9</v>
      </c>
      <c r="E79" s="66">
        <f>E16*E17*E9/SQRT(3)/E77*1000</f>
        <v>9814.2493305787229</v>
      </c>
    </row>
    <row r="80" spans="2:6">
      <c r="C80" s="18" t="s">
        <v>167</v>
      </c>
      <c r="D80" s="20" t="s">
        <v>9</v>
      </c>
      <c r="E80" s="66">
        <f>E16*E17*E9/E78*1000</f>
        <v>13191.262306872655</v>
      </c>
    </row>
    <row r="81" spans="1:6">
      <c r="C81" s="18" t="s">
        <v>168</v>
      </c>
      <c r="D81" s="20" t="s">
        <v>9</v>
      </c>
      <c r="E81" s="66">
        <f>MIN(E79:E80)</f>
        <v>9814.2493305787229</v>
      </c>
    </row>
    <row r="82" spans="1:6">
      <c r="C82" s="18" t="s">
        <v>170</v>
      </c>
      <c r="D82" s="20" t="s">
        <v>171</v>
      </c>
      <c r="E82" s="66">
        <v>5</v>
      </c>
    </row>
    <row r="83" spans="1:6">
      <c r="C83" s="18" t="s">
        <v>172</v>
      </c>
      <c r="D83" s="20" t="s">
        <v>3</v>
      </c>
      <c r="E83" s="94">
        <f>E81/E49</f>
        <v>40.222333322043944</v>
      </c>
    </row>
    <row r="84" spans="1:6">
      <c r="C84" s="18" t="s">
        <v>572</v>
      </c>
      <c r="D84" s="20" t="s">
        <v>171</v>
      </c>
      <c r="E84" s="67">
        <f>(E26*E58/E81)^2</f>
        <v>4.776836965903156</v>
      </c>
    </row>
    <row r="85" spans="1:6">
      <c r="C85" s="18" t="s">
        <v>174</v>
      </c>
      <c r="D85" s="20" t="s">
        <v>171</v>
      </c>
      <c r="E85" s="44">
        <v>0.01</v>
      </c>
      <c r="F85" s="18" t="s">
        <v>175</v>
      </c>
    </row>
    <row r="86" spans="1:6">
      <c r="C86" s="18" t="s">
        <v>220</v>
      </c>
      <c r="D86" s="20" t="s">
        <v>143</v>
      </c>
      <c r="E86" s="21" t="str">
        <f>IF(E13&lt;=E53,"OK!","!!!!!!!!!")</f>
        <v>OK!</v>
      </c>
    </row>
    <row r="87" spans="1:6">
      <c r="C87" s="18" t="s">
        <v>177</v>
      </c>
      <c r="D87" s="20" t="s">
        <v>143</v>
      </c>
      <c r="E87" s="21" t="str">
        <f>IF(E85&lt;=E84,"OK!","!!!!!!!!!")</f>
        <v>OK!</v>
      </c>
    </row>
    <row r="88" spans="1:6">
      <c r="C88" s="18" t="s">
        <v>178</v>
      </c>
      <c r="D88" s="20" t="s">
        <v>143</v>
      </c>
      <c r="E88" s="21" t="str">
        <f>IF(E85&lt;=E82,"OK!","!!!!!!!!!")</f>
        <v>OK!</v>
      </c>
    </row>
    <row r="89" spans="1:6">
      <c r="B89" s="19" t="s">
        <v>179</v>
      </c>
    </row>
    <row r="90" spans="1:6">
      <c r="C90" s="18" t="s">
        <v>221</v>
      </c>
      <c r="D90" s="64" t="s">
        <v>155</v>
      </c>
      <c r="E90" s="45">
        <f>E77</f>
        <v>23.472274816669728</v>
      </c>
    </row>
    <row r="91" spans="1:6">
      <c r="C91" s="18" t="s">
        <v>222</v>
      </c>
      <c r="D91" s="20" t="s">
        <v>171</v>
      </c>
      <c r="E91" s="46">
        <v>0.4</v>
      </c>
      <c r="F91" s="18" t="s">
        <v>223</v>
      </c>
    </row>
    <row r="92" spans="1:6">
      <c r="C92" s="18" t="s">
        <v>182</v>
      </c>
      <c r="D92" s="20" t="s">
        <v>9</v>
      </c>
      <c r="E92" s="47">
        <v>2500</v>
      </c>
    </row>
    <row r="93" spans="1:6">
      <c r="C93" s="18" t="s">
        <v>183</v>
      </c>
      <c r="D93" s="20" t="s">
        <v>11</v>
      </c>
      <c r="E93" s="41">
        <f>E90*E92/1000</f>
        <v>58.680687041674318</v>
      </c>
    </row>
    <row r="94" spans="1:6">
      <c r="C94" s="18" t="s">
        <v>184</v>
      </c>
      <c r="D94" s="20" t="s">
        <v>143</v>
      </c>
      <c r="E94" s="21" t="str">
        <f>IF(E93&lt;=(E9/SQRT(3)),"OK!","!!!!!!!!!")</f>
        <v>OK!</v>
      </c>
    </row>
    <row r="95" spans="1:6" s="20" customFormat="1">
      <c r="A95" s="18"/>
      <c r="B95" s="19" t="s">
        <v>185</v>
      </c>
      <c r="C95" s="18"/>
      <c r="E95" s="21"/>
      <c r="F95" s="18"/>
    </row>
    <row r="96" spans="1:6" s="20" customFormat="1">
      <c r="A96" s="18"/>
      <c r="B96" s="19"/>
      <c r="C96" s="39" t="s">
        <v>224</v>
      </c>
      <c r="E96" s="21"/>
      <c r="F96" s="18"/>
    </row>
    <row r="97" spans="1:6" s="20" customFormat="1">
      <c r="A97" s="18"/>
      <c r="B97" s="19"/>
      <c r="C97" s="39" t="s">
        <v>225</v>
      </c>
      <c r="E97" s="21"/>
      <c r="F97" s="18"/>
    </row>
  </sheetData>
  <pageMargins left="0.68" right="0.75" top="0.47" bottom="0.57999999999999996" header="0" footer="0"/>
  <pageSetup paperSize="9" scale="73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04"/>
  <sheetViews>
    <sheetView tabSelected="1" zoomScaleNormal="100" workbookViewId="0">
      <selection activeCell="E75" sqref="E75"/>
    </sheetView>
  </sheetViews>
  <sheetFormatPr defaultColWidth="9.140625" defaultRowHeight="12.75"/>
  <cols>
    <col min="1" max="1" width="9.140625" style="18"/>
    <col min="2" max="2" width="7.28515625" style="19" customWidth="1"/>
    <col min="3" max="3" width="48.7109375" style="18" bestFit="1" customWidth="1"/>
    <col min="4" max="4" width="9.140625" style="20"/>
    <col min="5" max="5" width="18.85546875" style="21" customWidth="1"/>
    <col min="6" max="7" width="18.85546875" style="18" customWidth="1"/>
    <col min="8" max="8" width="13.28515625" style="18" bestFit="1" customWidth="1"/>
    <col min="9" max="9" width="39.7109375" style="18" bestFit="1" customWidth="1"/>
    <col min="10" max="16384" width="9.140625" style="18"/>
  </cols>
  <sheetData>
    <row r="1" spans="1:15" s="15" customFormat="1" ht="18">
      <c r="A1" s="15" t="s">
        <v>34</v>
      </c>
      <c r="D1" s="16"/>
      <c r="E1" s="17"/>
    </row>
    <row r="2" spans="1:15" ht="26.25">
      <c r="I2" s="22" t="s">
        <v>35</v>
      </c>
    </row>
    <row r="3" spans="1:15" ht="15">
      <c r="I3" s="23" t="s">
        <v>36</v>
      </c>
    </row>
    <row r="4" spans="1:15">
      <c r="B4" s="24" t="s">
        <v>37</v>
      </c>
      <c r="C4" s="25"/>
      <c r="D4" s="26"/>
      <c r="E4" s="27"/>
    </row>
    <row r="5" spans="1:15">
      <c r="B5" s="24"/>
      <c r="C5" s="25" t="s">
        <v>38</v>
      </c>
      <c r="D5" s="26" t="s">
        <v>39</v>
      </c>
      <c r="E5" s="28">
        <f>K17</f>
        <v>268.77563453034224</v>
      </c>
    </row>
    <row r="6" spans="1:15" ht="15">
      <c r="B6" s="24"/>
      <c r="C6" s="25" t="s">
        <v>40</v>
      </c>
      <c r="D6" s="26" t="s">
        <v>3</v>
      </c>
      <c r="E6" s="29">
        <f>K20</f>
        <v>0.87098473516544717</v>
      </c>
      <c r="I6"/>
      <c r="J6" s="1"/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 spans="1:15" ht="15">
      <c r="B7" s="24" t="s">
        <v>46</v>
      </c>
      <c r="C7" s="25"/>
      <c r="D7" s="26"/>
      <c r="E7" s="27"/>
      <c r="I7"/>
      <c r="J7" s="1"/>
      <c r="K7"/>
      <c r="L7"/>
      <c r="M7"/>
      <c r="N7"/>
      <c r="O7"/>
    </row>
    <row r="8" spans="1:15" ht="15">
      <c r="B8" s="24"/>
      <c r="C8" s="25" t="s">
        <v>47</v>
      </c>
      <c r="D8" s="26" t="s">
        <v>11</v>
      </c>
      <c r="E8" s="30">
        <v>400</v>
      </c>
      <c r="I8" t="s">
        <v>48</v>
      </c>
      <c r="J8" s="1" t="s">
        <v>0</v>
      </c>
      <c r="K8" s="31">
        <v>18.5</v>
      </c>
      <c r="L8" s="31">
        <v>15</v>
      </c>
      <c r="M8" s="31">
        <v>15</v>
      </c>
      <c r="N8" s="31"/>
      <c r="O8" s="31"/>
    </row>
    <row r="9" spans="1:15" ht="15">
      <c r="B9" s="24"/>
      <c r="C9" s="25" t="s">
        <v>49</v>
      </c>
      <c r="D9" s="26" t="s">
        <v>50</v>
      </c>
      <c r="E9" s="30">
        <v>90</v>
      </c>
      <c r="I9" t="s">
        <v>51</v>
      </c>
      <c r="J9" s="1" t="s">
        <v>1</v>
      </c>
      <c r="K9" s="32">
        <v>0.9</v>
      </c>
      <c r="L9" s="33">
        <v>0.89500000000000002</v>
      </c>
      <c r="M9" s="33">
        <v>0.89500000000000002</v>
      </c>
      <c r="N9" s="31"/>
      <c r="O9" s="31"/>
    </row>
    <row r="10" spans="1:15" ht="15">
      <c r="B10" s="24"/>
      <c r="C10" s="25" t="s">
        <v>52</v>
      </c>
      <c r="D10" s="26" t="s">
        <v>53</v>
      </c>
      <c r="E10" s="30">
        <v>500</v>
      </c>
      <c r="I10" t="s">
        <v>54</v>
      </c>
      <c r="J10" s="1" t="s">
        <v>3</v>
      </c>
      <c r="K10" s="31">
        <v>0.88</v>
      </c>
      <c r="L10" s="31">
        <v>0.82</v>
      </c>
      <c r="M10" s="31">
        <v>0.82</v>
      </c>
      <c r="N10" s="31"/>
      <c r="O10" s="31"/>
    </row>
    <row r="11" spans="1:15" ht="15">
      <c r="B11" s="24"/>
      <c r="C11" s="25" t="s">
        <v>55</v>
      </c>
      <c r="D11" s="26" t="s">
        <v>1</v>
      </c>
      <c r="E11" s="30">
        <v>4.5</v>
      </c>
      <c r="I11" t="s">
        <v>56</v>
      </c>
      <c r="J11" s="1" t="s">
        <v>3</v>
      </c>
      <c r="K11" s="31">
        <v>10</v>
      </c>
      <c r="L11" s="31">
        <v>1</v>
      </c>
      <c r="M11" s="31">
        <v>1</v>
      </c>
      <c r="N11" s="31"/>
      <c r="O11" s="31"/>
    </row>
    <row r="12" spans="1:15" ht="15">
      <c r="B12" s="24"/>
      <c r="C12" s="25" t="s">
        <v>57</v>
      </c>
      <c r="D12" s="26" t="s">
        <v>39</v>
      </c>
      <c r="E12" s="34">
        <v>1000</v>
      </c>
      <c r="I12" t="s">
        <v>58</v>
      </c>
      <c r="J12" s="1" t="s">
        <v>3</v>
      </c>
      <c r="K12" s="31">
        <v>0.96</v>
      </c>
      <c r="L12" s="31">
        <v>0.97</v>
      </c>
      <c r="M12" s="31">
        <v>0.97</v>
      </c>
      <c r="N12" s="31"/>
      <c r="O12" s="31"/>
    </row>
    <row r="13" spans="1:15" ht="15">
      <c r="B13" s="24"/>
      <c r="C13" s="25" t="s">
        <v>59</v>
      </c>
      <c r="D13" s="26" t="s">
        <v>60</v>
      </c>
      <c r="E13" s="34">
        <v>2</v>
      </c>
      <c r="I13" t="s">
        <v>226</v>
      </c>
      <c r="J13" s="1" t="s">
        <v>3</v>
      </c>
      <c r="K13" s="31">
        <v>0.97</v>
      </c>
      <c r="L13" s="31">
        <v>0.97</v>
      </c>
      <c r="M13" s="31">
        <v>0.97</v>
      </c>
      <c r="N13" s="31"/>
      <c r="O13" s="31"/>
    </row>
    <row r="14" spans="1:15" ht="15">
      <c r="B14" s="24"/>
      <c r="C14" s="25" t="s">
        <v>61</v>
      </c>
      <c r="D14" s="26" t="s">
        <v>3</v>
      </c>
      <c r="E14" s="29">
        <v>1</v>
      </c>
      <c r="I14" t="s">
        <v>62</v>
      </c>
      <c r="J14" s="1" t="s">
        <v>3</v>
      </c>
      <c r="K14" s="31">
        <v>1.05</v>
      </c>
      <c r="L14" s="31">
        <v>1.05</v>
      </c>
      <c r="M14" s="31">
        <v>1.05</v>
      </c>
      <c r="N14" s="31"/>
      <c r="O14" s="31"/>
    </row>
    <row r="15" spans="1:15" ht="15">
      <c r="B15" s="24"/>
      <c r="C15" s="25" t="s">
        <v>63</v>
      </c>
      <c r="D15" s="26" t="s">
        <v>3</v>
      </c>
      <c r="E15" s="29">
        <v>1.05</v>
      </c>
      <c r="I15" t="s">
        <v>64</v>
      </c>
      <c r="J15" s="1" t="s">
        <v>39</v>
      </c>
      <c r="K15" s="35">
        <f>K8/K9/K10*K11*K12*K13*K14</f>
        <v>228.39090909090905</v>
      </c>
      <c r="L15" s="35">
        <f>L8/L9/L10*L11*L12*L13*L14</f>
        <v>20.192362719716584</v>
      </c>
      <c r="M15" s="35">
        <f>M8/M9/M10*M11*M12*M13*M14</f>
        <v>20.192362719716584</v>
      </c>
      <c r="N15" s="31"/>
      <c r="O15" s="31"/>
    </row>
    <row r="16" spans="1:15" ht="15.75" thickBot="1">
      <c r="B16" s="24"/>
      <c r="C16" s="25" t="s">
        <v>65</v>
      </c>
      <c r="D16" s="26"/>
      <c r="E16" s="29">
        <v>0.95</v>
      </c>
      <c r="I16"/>
      <c r="J16" s="1"/>
      <c r="K16"/>
      <c r="L16"/>
      <c r="M16"/>
      <c r="N16"/>
      <c r="O16"/>
    </row>
    <row r="17" spans="2:15" ht="15.75" thickBot="1">
      <c r="B17" s="24"/>
      <c r="C17" s="25" t="s">
        <v>66</v>
      </c>
      <c r="D17" s="26" t="s">
        <v>3</v>
      </c>
      <c r="E17" s="29">
        <v>1.05</v>
      </c>
      <c r="I17" t="s">
        <v>67</v>
      </c>
      <c r="J17" s="1" t="s">
        <v>39</v>
      </c>
      <c r="K17" s="36">
        <f>SUM(K15:O15)</f>
        <v>268.77563453034224</v>
      </c>
      <c r="L17"/>
      <c r="M17"/>
      <c r="N17"/>
      <c r="O17"/>
    </row>
    <row r="18" spans="2:15" ht="15">
      <c r="B18" s="24"/>
      <c r="C18" s="25" t="s">
        <v>68</v>
      </c>
      <c r="D18" s="26" t="s">
        <v>3</v>
      </c>
      <c r="E18" s="30" t="s">
        <v>69</v>
      </c>
      <c r="I18"/>
      <c r="J18" s="1"/>
      <c r="K18"/>
      <c r="L18"/>
      <c r="M18"/>
      <c r="N18"/>
      <c r="O18"/>
    </row>
    <row r="19" spans="2:15" ht="15">
      <c r="B19" s="24" t="s">
        <v>70</v>
      </c>
      <c r="C19" s="25"/>
      <c r="D19" s="26"/>
      <c r="E19" s="27"/>
      <c r="I19" t="s">
        <v>71</v>
      </c>
      <c r="J19" s="1" t="s">
        <v>9</v>
      </c>
      <c r="K19" s="3">
        <f>K17/(SQRT(3)*400)*1000</f>
        <v>387.94421236926388</v>
      </c>
      <c r="L19"/>
      <c r="M19"/>
      <c r="N19"/>
      <c r="O19"/>
    </row>
    <row r="20" spans="2:15" ht="15">
      <c r="B20" s="24"/>
      <c r="C20" s="25" t="s">
        <v>72</v>
      </c>
      <c r="D20" s="26" t="s">
        <v>3</v>
      </c>
      <c r="E20" s="30" t="s">
        <v>73</v>
      </c>
      <c r="I20" t="s">
        <v>74</v>
      </c>
      <c r="J20" s="1" t="s">
        <v>3</v>
      </c>
      <c r="K20" s="2">
        <f>(K10*K15+L10*L15+M10*M15)/SUM(K15:M15)</f>
        <v>0.87098473516544717</v>
      </c>
      <c r="L20"/>
      <c r="M20"/>
      <c r="N20"/>
      <c r="O20"/>
    </row>
    <row r="21" spans="2:15">
      <c r="B21" s="24"/>
      <c r="C21" s="25" t="s">
        <v>75</v>
      </c>
      <c r="D21" s="26" t="s">
        <v>3</v>
      </c>
      <c r="E21" s="30" t="s">
        <v>76</v>
      </c>
    </row>
    <row r="22" spans="2:15">
      <c r="B22" s="24"/>
      <c r="C22" s="25" t="s">
        <v>77</v>
      </c>
      <c r="D22" s="37" t="s">
        <v>78</v>
      </c>
      <c r="E22" s="30">
        <v>1.7240999999999999E-2</v>
      </c>
      <c r="F22" s="18" t="s">
        <v>79</v>
      </c>
    </row>
    <row r="23" spans="2:15">
      <c r="B23" s="24"/>
      <c r="C23" s="25" t="s">
        <v>80</v>
      </c>
      <c r="D23" s="38" t="s">
        <v>81</v>
      </c>
      <c r="E23" s="30">
        <v>3.9300000000000003E-3</v>
      </c>
      <c r="F23" s="18" t="s">
        <v>79</v>
      </c>
    </row>
    <row r="24" spans="2:15">
      <c r="B24" s="24"/>
      <c r="C24" s="25" t="s">
        <v>82</v>
      </c>
      <c r="D24" s="38" t="s">
        <v>83</v>
      </c>
      <c r="E24" s="30">
        <v>90</v>
      </c>
      <c r="F24" s="39" t="s">
        <v>84</v>
      </c>
    </row>
    <row r="25" spans="2:15">
      <c r="B25" s="24"/>
      <c r="C25" s="25" t="s">
        <v>85</v>
      </c>
      <c r="D25" s="26" t="s">
        <v>3</v>
      </c>
      <c r="E25" s="40" t="s">
        <v>86</v>
      </c>
      <c r="F25" s="18" t="s">
        <v>87</v>
      </c>
    </row>
    <row r="26" spans="2:15">
      <c r="B26" s="24"/>
      <c r="C26" s="25" t="s">
        <v>88</v>
      </c>
      <c r="D26" s="26" t="s">
        <v>3</v>
      </c>
      <c r="E26" s="30">
        <v>143</v>
      </c>
      <c r="F26" s="18" t="s">
        <v>89</v>
      </c>
    </row>
    <row r="27" spans="2:15">
      <c r="B27" s="24"/>
      <c r="C27" s="25" t="s">
        <v>90</v>
      </c>
      <c r="D27" s="26" t="s">
        <v>91</v>
      </c>
      <c r="E27" s="30">
        <v>0.08</v>
      </c>
    </row>
    <row r="28" spans="2:15">
      <c r="B28" s="24"/>
      <c r="C28" s="25" t="s">
        <v>92</v>
      </c>
      <c r="D28" s="26" t="s">
        <v>3</v>
      </c>
      <c r="E28" s="30" t="s">
        <v>93</v>
      </c>
    </row>
    <row r="29" spans="2:15">
      <c r="B29" s="24"/>
      <c r="C29" s="25" t="s">
        <v>94</v>
      </c>
      <c r="D29" s="26" t="s">
        <v>3</v>
      </c>
      <c r="E29" s="40" t="s">
        <v>95</v>
      </c>
      <c r="F29" s="18" t="s">
        <v>96</v>
      </c>
    </row>
    <row r="30" spans="2:15">
      <c r="B30" s="24"/>
      <c r="C30" s="25" t="s">
        <v>97</v>
      </c>
      <c r="D30" s="26" t="s">
        <v>3</v>
      </c>
      <c r="E30" s="30" t="s">
        <v>3</v>
      </c>
    </row>
    <row r="31" spans="2:15">
      <c r="B31" s="24"/>
      <c r="C31" s="25" t="s">
        <v>98</v>
      </c>
      <c r="D31" s="26" t="s">
        <v>99</v>
      </c>
      <c r="E31" s="30" t="s">
        <v>100</v>
      </c>
    </row>
    <row r="32" spans="2:15">
      <c r="B32" s="24"/>
      <c r="C32" s="25" t="s">
        <v>101</v>
      </c>
      <c r="D32" s="26" t="s">
        <v>3</v>
      </c>
      <c r="E32" s="30">
        <v>2</v>
      </c>
    </row>
    <row r="33" spans="2:8">
      <c r="B33" s="24" t="s">
        <v>102</v>
      </c>
      <c r="C33" s="25"/>
      <c r="D33" s="26"/>
      <c r="E33" s="27"/>
    </row>
    <row r="34" spans="2:8">
      <c r="B34" s="24"/>
      <c r="C34" s="25" t="s">
        <v>103</v>
      </c>
      <c r="D34" s="26" t="s">
        <v>83</v>
      </c>
      <c r="E34" s="30" t="s">
        <v>3</v>
      </c>
    </row>
    <row r="35" spans="2:8">
      <c r="B35" s="24"/>
      <c r="C35" s="25" t="s">
        <v>104</v>
      </c>
      <c r="D35" s="26" t="s">
        <v>83</v>
      </c>
      <c r="E35" s="30">
        <v>45</v>
      </c>
    </row>
    <row r="36" spans="2:8">
      <c r="B36" s="24"/>
      <c r="C36" s="25" t="s">
        <v>105</v>
      </c>
      <c r="D36" s="26" t="s">
        <v>106</v>
      </c>
      <c r="E36" s="30" t="s">
        <v>3</v>
      </c>
    </row>
    <row r="38" spans="2:8">
      <c r="B38" s="19" t="s">
        <v>22</v>
      </c>
      <c r="C38" s="18" t="s">
        <v>107</v>
      </c>
      <c r="D38" s="20" t="s">
        <v>9</v>
      </c>
      <c r="E38" s="41">
        <f>E5/SQRT(3)/E8*1000</f>
        <v>387.94421236926394</v>
      </c>
      <c r="H38" s="19"/>
    </row>
    <row r="39" spans="2:8">
      <c r="C39" s="18" t="s">
        <v>108</v>
      </c>
      <c r="D39" s="20" t="s">
        <v>3</v>
      </c>
      <c r="E39" s="42">
        <v>61</v>
      </c>
      <c r="F39" s="18" t="s">
        <v>109</v>
      </c>
    </row>
    <row r="40" spans="2:8">
      <c r="C40" s="18" t="s">
        <v>110</v>
      </c>
      <c r="D40" s="20" t="s">
        <v>3</v>
      </c>
      <c r="E40" s="43" t="s">
        <v>111</v>
      </c>
      <c r="F40" s="18" t="s">
        <v>109</v>
      </c>
    </row>
    <row r="42" spans="2:8">
      <c r="B42" s="19" t="s">
        <v>112</v>
      </c>
    </row>
    <row r="43" spans="2:8">
      <c r="C43" s="39" t="s">
        <v>113</v>
      </c>
      <c r="D43" s="20" t="s">
        <v>3</v>
      </c>
      <c r="E43" s="44">
        <v>0.89</v>
      </c>
      <c r="F43" s="39" t="s">
        <v>114</v>
      </c>
    </row>
    <row r="44" spans="2:8">
      <c r="C44" s="39" t="s">
        <v>115</v>
      </c>
      <c r="D44" s="20" t="s">
        <v>3</v>
      </c>
      <c r="E44" s="44">
        <v>0.72</v>
      </c>
      <c r="F44" s="39" t="s">
        <v>116</v>
      </c>
    </row>
    <row r="45" spans="2:8">
      <c r="C45" s="18" t="s">
        <v>117</v>
      </c>
      <c r="D45" s="20" t="s">
        <v>3</v>
      </c>
      <c r="E45" s="45">
        <f>E43*E44</f>
        <v>0.64080000000000004</v>
      </c>
    </row>
    <row r="46" spans="2:8">
      <c r="B46" s="19" t="s">
        <v>118</v>
      </c>
      <c r="E46" s="41"/>
    </row>
    <row r="47" spans="2:8">
      <c r="C47" s="18" t="s">
        <v>119</v>
      </c>
      <c r="D47" s="20" t="s">
        <v>9</v>
      </c>
      <c r="E47" s="42">
        <v>400</v>
      </c>
    </row>
    <row r="48" spans="2:8">
      <c r="C48" s="18" t="s">
        <v>120</v>
      </c>
      <c r="D48" s="20" t="s">
        <v>9</v>
      </c>
      <c r="E48" s="46">
        <f>E47*0.975</f>
        <v>390</v>
      </c>
      <c r="F48" s="18" t="s">
        <v>121</v>
      </c>
    </row>
    <row r="49" spans="2:7">
      <c r="C49" s="18" t="s">
        <v>122</v>
      </c>
      <c r="D49" s="20" t="s">
        <v>9</v>
      </c>
      <c r="E49" s="47">
        <f>12*E47</f>
        <v>4800</v>
      </c>
    </row>
    <row r="50" spans="2:7">
      <c r="C50" s="39" t="s">
        <v>123</v>
      </c>
      <c r="D50" s="48" t="s">
        <v>3</v>
      </c>
      <c r="E50" s="49">
        <v>1.3</v>
      </c>
      <c r="F50" s="39" t="s">
        <v>124</v>
      </c>
    </row>
    <row r="51" spans="2:7">
      <c r="C51" s="18" t="s">
        <v>125</v>
      </c>
      <c r="D51" s="20" t="s">
        <v>9</v>
      </c>
      <c r="E51" s="41">
        <f>E50*E48</f>
        <v>507</v>
      </c>
    </row>
    <row r="52" spans="2:7">
      <c r="C52" s="18" t="s">
        <v>126</v>
      </c>
      <c r="D52" s="20" t="s">
        <v>127</v>
      </c>
      <c r="E52" s="46">
        <v>70</v>
      </c>
      <c r="F52" s="39" t="s">
        <v>128</v>
      </c>
    </row>
    <row r="53" spans="2:7">
      <c r="C53" s="18" t="s">
        <v>129</v>
      </c>
      <c r="D53" s="20" t="s">
        <v>3</v>
      </c>
      <c r="E53" s="44" t="s">
        <v>3</v>
      </c>
    </row>
    <row r="54" spans="2:7">
      <c r="E54" s="50"/>
    </row>
    <row r="55" spans="2:7">
      <c r="E55" s="51" t="s">
        <v>130</v>
      </c>
    </row>
    <row r="56" spans="2:7">
      <c r="B56" s="19" t="s">
        <v>131</v>
      </c>
    </row>
    <row r="57" spans="2:7">
      <c r="C57" s="39" t="s">
        <v>132</v>
      </c>
      <c r="D57" s="20" t="s">
        <v>9</v>
      </c>
      <c r="E57" s="52">
        <f>$E$48/$E$45</f>
        <v>608.61423220973779</v>
      </c>
    </row>
    <row r="58" spans="2:7">
      <c r="C58" s="19" t="s">
        <v>133</v>
      </c>
      <c r="D58" s="53" t="s">
        <v>99</v>
      </c>
      <c r="E58" s="54">
        <f>2*120</f>
        <v>240</v>
      </c>
      <c r="F58" s="39" t="s">
        <v>134</v>
      </c>
      <c r="G58" s="55" t="s">
        <v>135</v>
      </c>
    </row>
    <row r="59" spans="2:7">
      <c r="C59" s="18" t="s">
        <v>136</v>
      </c>
      <c r="D59" s="20" t="s">
        <v>99</v>
      </c>
      <c r="E59" s="56">
        <f>E58</f>
        <v>240</v>
      </c>
      <c r="F59" s="18" t="s">
        <v>137</v>
      </c>
    </row>
    <row r="60" spans="2:7">
      <c r="C60" s="18" t="s">
        <v>138</v>
      </c>
      <c r="D60" s="20" t="s">
        <v>9</v>
      </c>
      <c r="E60" s="56">
        <f>343*2</f>
        <v>686</v>
      </c>
      <c r="F60" s="18" t="str">
        <f>F58</f>
        <v>Quadro 52-C30</v>
      </c>
    </row>
    <row r="61" spans="2:7">
      <c r="C61" s="18" t="s">
        <v>139</v>
      </c>
      <c r="D61" s="20" t="s">
        <v>9</v>
      </c>
      <c r="E61" s="41">
        <f>E60*$E$45</f>
        <v>439.58880000000005</v>
      </c>
    </row>
    <row r="62" spans="2:7">
      <c r="C62" s="18" t="s">
        <v>140</v>
      </c>
      <c r="D62" s="20" t="s">
        <v>9</v>
      </c>
      <c r="E62" s="41">
        <f>1.45*E61</f>
        <v>637.40376000000003</v>
      </c>
    </row>
    <row r="63" spans="2:7">
      <c r="B63" s="19" t="s">
        <v>141</v>
      </c>
    </row>
    <row r="64" spans="2:7">
      <c r="C64" s="18" t="s">
        <v>142</v>
      </c>
      <c r="D64" s="20" t="s">
        <v>143</v>
      </c>
      <c r="E64" s="21" t="str">
        <f>IF($E$38&lt;=$E$48,"OK!","!!!!!!!!!")</f>
        <v>OK!</v>
      </c>
    </row>
    <row r="65" spans="2:6">
      <c r="C65" s="18" t="s">
        <v>144</v>
      </c>
      <c r="D65" s="20" t="s">
        <v>143</v>
      </c>
      <c r="E65" s="21" t="str">
        <f>IF($E$48&lt;=E61,"OK!","!!!!!!!!!")</f>
        <v>OK!</v>
      </c>
    </row>
    <row r="66" spans="2:6">
      <c r="C66" s="18" t="s">
        <v>145</v>
      </c>
      <c r="D66" s="20" t="s">
        <v>143</v>
      </c>
      <c r="E66" s="21" t="str">
        <f>IF($E$51&lt;=E62,"OK!","!!!!!!!!!")</f>
        <v>OK!</v>
      </c>
    </row>
    <row r="67" spans="2:6">
      <c r="B67" s="19" t="s">
        <v>146</v>
      </c>
    </row>
    <row r="68" spans="2:6" s="58" customFormat="1">
      <c r="B68" s="57"/>
      <c r="C68" s="58" t="s">
        <v>147</v>
      </c>
      <c r="D68" s="59" t="s">
        <v>78</v>
      </c>
      <c r="E68" s="60">
        <f>$E$22*(1+$E$23*($E$24-20))</f>
        <v>2.1983999100000002E-2</v>
      </c>
    </row>
    <row r="69" spans="2:6">
      <c r="C69" s="61" t="s">
        <v>148</v>
      </c>
      <c r="D69" s="20" t="s">
        <v>1</v>
      </c>
      <c r="E69" s="62">
        <v>0.05</v>
      </c>
      <c r="F69" s="18" t="s">
        <v>149</v>
      </c>
    </row>
    <row r="70" spans="2:6">
      <c r="C70" s="18" t="s">
        <v>150</v>
      </c>
      <c r="D70" s="20" t="s">
        <v>11</v>
      </c>
      <c r="E70" s="41">
        <f>(E68*$E$9/E58*$E$6+0.08/1000*$E$9*SIN(ACOS($E$6)))*$E$38</f>
        <v>4.1579202776311419</v>
      </c>
    </row>
    <row r="71" spans="2:6" ht="15">
      <c r="C71" s="61" t="s">
        <v>151</v>
      </c>
      <c r="D71" s="20" t="s">
        <v>1</v>
      </c>
      <c r="E71" s="63">
        <f>E70*SQRT(3)/$E$8</f>
        <v>1.8004322936695075E-2</v>
      </c>
    </row>
    <row r="72" spans="2:6">
      <c r="C72" s="18" t="s">
        <v>152</v>
      </c>
      <c r="D72" s="20" t="s">
        <v>143</v>
      </c>
      <c r="E72" s="21" t="str">
        <f>IF(E71&lt;=E69,"OK!","!!!!!!!!!")</f>
        <v>OK!</v>
      </c>
    </row>
    <row r="73" spans="2:6">
      <c r="B73" s="19" t="s">
        <v>153</v>
      </c>
    </row>
    <row r="74" spans="2:6">
      <c r="C74" s="18" t="s">
        <v>154</v>
      </c>
      <c r="D74" s="64" t="s">
        <v>155</v>
      </c>
      <c r="E74" s="45">
        <f>($E$17*$E$8)^2/($E$10*10^6)*1000</f>
        <v>0.3528</v>
      </c>
    </row>
    <row r="75" spans="2:6">
      <c r="C75" s="18" t="s">
        <v>156</v>
      </c>
      <c r="D75" s="64" t="s">
        <v>155</v>
      </c>
      <c r="E75" s="45">
        <f>($E$17*$E$8)^2*$E$11/100/$E$12</f>
        <v>7.9379999999999997</v>
      </c>
    </row>
    <row r="76" spans="2:6">
      <c r="C76" s="18" t="s">
        <v>157</v>
      </c>
      <c r="D76" s="64" t="s">
        <v>155</v>
      </c>
      <c r="E76" s="45">
        <f>($E$17*$E$8)^2*$E$11/100/$E$12/$E$13</f>
        <v>3.9689999999999999</v>
      </c>
    </row>
    <row r="77" spans="2:6">
      <c r="C77" s="18" t="s">
        <v>158</v>
      </c>
      <c r="D77" s="64" t="s">
        <v>155</v>
      </c>
      <c r="E77" s="65">
        <f>E68*$E$9*(1/E58+1/E59)*1000</f>
        <v>16.487999325000004</v>
      </c>
    </row>
    <row r="78" spans="2:6">
      <c r="C78" s="18" t="s">
        <v>159</v>
      </c>
      <c r="D78" s="64" t="s">
        <v>155</v>
      </c>
      <c r="E78" s="65">
        <f>E68*$E$9*2/E58*1000</f>
        <v>16.487999325000004</v>
      </c>
    </row>
    <row r="79" spans="2:6">
      <c r="C79" s="18" t="s">
        <v>160</v>
      </c>
      <c r="D79" s="64" t="s">
        <v>155</v>
      </c>
      <c r="E79" s="45">
        <f>2*$E$27*$E$9</f>
        <v>14.4</v>
      </c>
    </row>
    <row r="80" spans="2:6">
      <c r="C80" s="18" t="s">
        <v>161</v>
      </c>
      <c r="D80" s="64" t="s">
        <v>155</v>
      </c>
      <c r="E80" s="65">
        <f>SQRT(E77^2+E79^2)</f>
        <v>21.890959817723857</v>
      </c>
    </row>
    <row r="81" spans="2:6">
      <c r="C81" s="18" t="s">
        <v>162</v>
      </c>
      <c r="D81" s="64" t="s">
        <v>155</v>
      </c>
      <c r="E81" s="65">
        <f>SQRT(E78^2+E79^2)</f>
        <v>21.890959817723857</v>
      </c>
    </row>
    <row r="82" spans="2:6">
      <c r="C82" s="18" t="s">
        <v>163</v>
      </c>
      <c r="D82" s="64" t="s">
        <v>155</v>
      </c>
      <c r="E82" s="65">
        <f>E74+E80+E75</f>
        <v>30.181759817723854</v>
      </c>
    </row>
    <row r="83" spans="2:6">
      <c r="C83" s="18" t="s">
        <v>164</v>
      </c>
      <c r="D83" s="64" t="s">
        <v>155</v>
      </c>
      <c r="E83" s="65">
        <f>E74+E81+E75</f>
        <v>30.181759817723854</v>
      </c>
    </row>
    <row r="84" spans="2:6">
      <c r="C84" s="18" t="s">
        <v>165</v>
      </c>
      <c r="D84" s="64" t="s">
        <v>155</v>
      </c>
      <c r="E84" s="65">
        <f>E74+E76</f>
        <v>4.3217999999999996</v>
      </c>
    </row>
    <row r="85" spans="2:6">
      <c r="C85" s="18" t="s">
        <v>166</v>
      </c>
      <c r="D85" s="20" t="s">
        <v>9</v>
      </c>
      <c r="E85" s="66">
        <f>$E$16*$E$17*$E$8/SQRT(3)/E82*1000</f>
        <v>7632.515757791668</v>
      </c>
    </row>
    <row r="86" spans="2:6">
      <c r="C86" s="18" t="s">
        <v>167</v>
      </c>
      <c r="D86" s="20" t="s">
        <v>9</v>
      </c>
      <c r="E86" s="66">
        <f>$E$16*$E$17*$E$8/E83*1000</f>
        <v>13219.905082065239</v>
      </c>
    </row>
    <row r="87" spans="2:6">
      <c r="C87" s="18" t="s">
        <v>168</v>
      </c>
      <c r="D87" s="20" t="s">
        <v>9</v>
      </c>
      <c r="E87" s="66">
        <f>MIN(E85:E86)</f>
        <v>7632.515757791668</v>
      </c>
    </row>
    <row r="88" spans="2:6">
      <c r="C88" s="18" t="s">
        <v>169</v>
      </c>
      <c r="D88" s="20" t="s">
        <v>127</v>
      </c>
      <c r="E88" s="67">
        <f>$E$15*$E$17*$E$8/(SQRT(3)*E84)</f>
        <v>58.913292774451612</v>
      </c>
    </row>
    <row r="89" spans="2:6">
      <c r="C89" s="18" t="s">
        <v>170</v>
      </c>
      <c r="D89" s="20" t="s">
        <v>171</v>
      </c>
      <c r="E89" s="66">
        <v>5</v>
      </c>
    </row>
    <row r="90" spans="2:6">
      <c r="C90" s="18" t="s">
        <v>172</v>
      </c>
      <c r="D90" s="20" t="s">
        <v>3</v>
      </c>
      <c r="E90" s="41">
        <f>E87/$E$48</f>
        <v>19.570553225106842</v>
      </c>
    </row>
    <row r="91" spans="2:6">
      <c r="C91" s="18" t="s">
        <v>173</v>
      </c>
      <c r="D91" s="20" t="s">
        <v>171</v>
      </c>
      <c r="E91" s="65">
        <f>($E$26*E58/E87)^2</f>
        <v>20.218975180687501</v>
      </c>
    </row>
    <row r="92" spans="2:6">
      <c r="C92" s="18" t="s">
        <v>174</v>
      </c>
      <c r="D92" s="20" t="s">
        <v>171</v>
      </c>
      <c r="E92" s="68">
        <v>0.05</v>
      </c>
      <c r="F92" s="18" t="s">
        <v>175</v>
      </c>
    </row>
    <row r="93" spans="2:6">
      <c r="C93" s="18" t="s">
        <v>176</v>
      </c>
      <c r="D93" s="20" t="s">
        <v>143</v>
      </c>
      <c r="E93" s="21" t="str">
        <f>IF(E88&lt;=E52,"OK!","!!!!!!!!!")</f>
        <v>OK!</v>
      </c>
    </row>
    <row r="94" spans="2:6">
      <c r="C94" s="18" t="s">
        <v>177</v>
      </c>
      <c r="D94" s="20" t="s">
        <v>143</v>
      </c>
      <c r="E94" s="21" t="str">
        <f>IF(E92&lt;=E91,"OK!","!!!!!!!!!")</f>
        <v>OK!</v>
      </c>
    </row>
    <row r="95" spans="2:6">
      <c r="C95" s="18" t="s">
        <v>178</v>
      </c>
      <c r="D95" s="20" t="s">
        <v>143</v>
      </c>
      <c r="E95" s="21" t="str">
        <f>IF(E92&lt;=E89,"OK!","!!!!!!!!!")</f>
        <v>OK!</v>
      </c>
    </row>
    <row r="96" spans="2:6">
      <c r="B96" s="19" t="s">
        <v>179</v>
      </c>
    </row>
    <row r="97" spans="2:5">
      <c r="C97" s="18" t="s">
        <v>180</v>
      </c>
      <c r="D97" s="64" t="s">
        <v>155</v>
      </c>
      <c r="E97" s="65">
        <f>E82</f>
        <v>30.181759817723854</v>
      </c>
    </row>
    <row r="98" spans="2:5">
      <c r="C98" s="18" t="s">
        <v>181</v>
      </c>
      <c r="D98" s="20" t="s">
        <v>171</v>
      </c>
      <c r="E98" s="46">
        <v>0.4</v>
      </c>
    </row>
    <row r="99" spans="2:5">
      <c r="C99" s="18" t="s">
        <v>182</v>
      </c>
      <c r="D99" s="20" t="s">
        <v>9</v>
      </c>
      <c r="E99" s="47">
        <f>11*$E$47</f>
        <v>4400</v>
      </c>
    </row>
    <row r="100" spans="2:5">
      <c r="C100" s="18" t="s">
        <v>183</v>
      </c>
      <c r="D100" s="20" t="s">
        <v>11</v>
      </c>
      <c r="E100" s="41">
        <f>E97*E99/1000</f>
        <v>132.79974319798495</v>
      </c>
    </row>
    <row r="101" spans="2:5">
      <c r="C101" s="18" t="s">
        <v>184</v>
      </c>
      <c r="D101" s="20" t="s">
        <v>143</v>
      </c>
      <c r="E101" s="21" t="str">
        <f>IF(E100&lt;=($E$8/SQRT(3)),"OK!","!!!!!!!!!")</f>
        <v>OK!</v>
      </c>
    </row>
    <row r="102" spans="2:5">
      <c r="B102" s="19" t="s">
        <v>185</v>
      </c>
    </row>
    <row r="103" spans="2:5">
      <c r="C103" s="39" t="s">
        <v>186</v>
      </c>
    </row>
    <row r="104" spans="2:5">
      <c r="C104" s="39" t="s">
        <v>187</v>
      </c>
    </row>
  </sheetData>
  <conditionalFormatting sqref="E101 E72 E64:E66 E93:E95">
    <cfRule type="notContainsText" dxfId="2" priority="1" stopIfTrue="1" operator="notContains" text="OK!">
      <formula>ISERROR(SEARCH("OK!",E64))</formula>
    </cfRule>
  </conditionalFormatting>
  <pageMargins left="0.6692913385826772" right="0.74803149606299213" top="0.47244094488188981" bottom="0.59055118110236227" header="0" footer="0"/>
  <pageSetup paperSize="9" scale="53" orientation="portrait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3"/>
  <sheetViews>
    <sheetView topLeftCell="A43" zoomScaleNormal="100" workbookViewId="0">
      <selection activeCell="A13" sqref="A13"/>
    </sheetView>
  </sheetViews>
  <sheetFormatPr defaultRowHeight="15"/>
  <cols>
    <col min="2" max="2" width="6.7109375" customWidth="1"/>
    <col min="3" max="3" width="22" customWidth="1"/>
    <col min="4" max="4" width="12.85546875" bestFit="1" customWidth="1"/>
    <col min="5" max="6" width="11.85546875" customWidth="1"/>
    <col min="9" max="9" width="9.5703125" bestFit="1" customWidth="1"/>
    <col min="10" max="10" width="9.28515625" bestFit="1" customWidth="1"/>
    <col min="12" max="13" width="13.28515625" customWidth="1"/>
    <col min="14" max="14" width="11.5703125" bestFit="1" customWidth="1"/>
  </cols>
  <sheetData>
    <row r="1" spans="1:14" ht="26.25">
      <c r="A1" s="22" t="s">
        <v>485</v>
      </c>
    </row>
    <row r="3" spans="1:14">
      <c r="C3" t="s">
        <v>486</v>
      </c>
      <c r="D3" s="4">
        <f>D4/SQRT(3)</f>
        <v>230.94010767585033</v>
      </c>
      <c r="E3" t="s">
        <v>11</v>
      </c>
    </row>
    <row r="4" spans="1:14">
      <c r="C4" t="s">
        <v>487</v>
      </c>
      <c r="D4">
        <v>400</v>
      </c>
      <c r="E4" t="s">
        <v>11</v>
      </c>
    </row>
    <row r="6" spans="1:14" ht="18.75">
      <c r="B6" s="192" t="s">
        <v>488</v>
      </c>
    </row>
    <row r="7" spans="1:14">
      <c r="C7" t="s">
        <v>489</v>
      </c>
    </row>
    <row r="8" spans="1:14" ht="15" customHeight="1">
      <c r="C8" s="193" t="s">
        <v>490</v>
      </c>
      <c r="D8" s="193" t="s">
        <v>491</v>
      </c>
      <c r="E8" s="193" t="s">
        <v>492</v>
      </c>
      <c r="F8" s="193" t="s">
        <v>493</v>
      </c>
      <c r="G8" s="193" t="s">
        <v>494</v>
      </c>
      <c r="H8" s="193" t="s">
        <v>495</v>
      </c>
      <c r="I8" s="193" t="s">
        <v>496</v>
      </c>
      <c r="J8" s="193" t="s">
        <v>497</v>
      </c>
    </row>
    <row r="9" spans="1:14">
      <c r="C9" s="31" t="s">
        <v>498</v>
      </c>
      <c r="D9" s="31" t="s">
        <v>499</v>
      </c>
      <c r="E9" s="35">
        <f>$D$3*3*10*16/1000</f>
        <v>110.85125168440817</v>
      </c>
      <c r="F9" s="31">
        <v>1</v>
      </c>
      <c r="G9" s="31">
        <v>1</v>
      </c>
      <c r="H9" s="31">
        <v>0.2</v>
      </c>
      <c r="I9" s="111">
        <f>E9*G9*H9</f>
        <v>22.170250336881637</v>
      </c>
      <c r="J9" s="31">
        <f>I9*TAN(ACOS(F9))</f>
        <v>0</v>
      </c>
    </row>
    <row r="10" spans="1:14">
      <c r="C10" s="31" t="s">
        <v>500</v>
      </c>
      <c r="D10" s="31" t="s">
        <v>501</v>
      </c>
      <c r="E10" s="31">
        <f>12*1</f>
        <v>12</v>
      </c>
      <c r="F10" s="31">
        <v>1</v>
      </c>
      <c r="G10" s="31">
        <v>1</v>
      </c>
      <c r="H10" s="31">
        <v>1</v>
      </c>
      <c r="I10" s="31">
        <f t="shared" ref="I10:I11" si="0">E10*G10*H10</f>
        <v>12</v>
      </c>
      <c r="J10" s="31">
        <f t="shared" ref="J10:J11" si="1">I10*TAN(ACOS(F10))</f>
        <v>0</v>
      </c>
    </row>
    <row r="11" spans="1:14" ht="30">
      <c r="C11" s="31" t="s">
        <v>251</v>
      </c>
      <c r="D11" s="194" t="s">
        <v>502</v>
      </c>
      <c r="E11" s="31">
        <f>6*16*2*36*1.25/1000</f>
        <v>8.64</v>
      </c>
      <c r="F11" s="31">
        <v>0.6</v>
      </c>
      <c r="G11" s="31">
        <v>1</v>
      </c>
      <c r="H11" s="31">
        <v>1</v>
      </c>
      <c r="I11" s="31">
        <f t="shared" si="0"/>
        <v>8.64</v>
      </c>
      <c r="J11" s="31">
        <f t="shared" si="1"/>
        <v>11.52</v>
      </c>
    </row>
    <row r="12" spans="1:14">
      <c r="C12" s="97" t="s">
        <v>503</v>
      </c>
      <c r="D12" s="97"/>
      <c r="E12" s="97"/>
      <c r="F12" s="97"/>
      <c r="G12" s="97"/>
      <c r="H12" s="97"/>
      <c r="I12" s="185">
        <f>SUM(I9:I11)</f>
        <v>42.810250336881637</v>
      </c>
      <c r="J12" s="97">
        <f>SUM(J9:J11)</f>
        <v>11.52</v>
      </c>
      <c r="M12" s="165" t="s">
        <v>504</v>
      </c>
      <c r="N12" s="165" t="s">
        <v>493</v>
      </c>
    </row>
    <row r="13" spans="1:14">
      <c r="M13" s="195">
        <f>N18*1000/(3*D3)</f>
        <v>93.947476651678912</v>
      </c>
      <c r="N13" s="196">
        <f>L18/N18</f>
        <v>0.96919675003876815</v>
      </c>
    </row>
    <row r="14" spans="1:14">
      <c r="C14" t="s">
        <v>505</v>
      </c>
    </row>
    <row r="15" spans="1:14">
      <c r="C15" s="193" t="s">
        <v>490</v>
      </c>
      <c r="D15" s="193" t="s">
        <v>491</v>
      </c>
      <c r="E15" s="193" t="s">
        <v>492</v>
      </c>
      <c r="F15" s="193" t="s">
        <v>493</v>
      </c>
      <c r="G15" s="193" t="s">
        <v>494</v>
      </c>
      <c r="H15" s="193" t="s">
        <v>495</v>
      </c>
      <c r="I15" s="193" t="s">
        <v>506</v>
      </c>
      <c r="J15" s="193" t="s">
        <v>507</v>
      </c>
    </row>
    <row r="16" spans="1:14">
      <c r="C16" s="31" t="s">
        <v>500</v>
      </c>
      <c r="D16" s="31" t="s">
        <v>508</v>
      </c>
      <c r="E16" s="31">
        <v>6</v>
      </c>
      <c r="F16" s="31">
        <v>1</v>
      </c>
      <c r="G16" s="31">
        <v>1</v>
      </c>
      <c r="H16" s="31">
        <v>1</v>
      </c>
      <c r="I16" s="31">
        <f>E16*G16*H16</f>
        <v>6</v>
      </c>
      <c r="J16" s="31">
        <f>I16*TAN(ACOS(F16))</f>
        <v>0</v>
      </c>
      <c r="L16" s="165" t="s">
        <v>509</v>
      </c>
      <c r="M16" s="165" t="s">
        <v>510</v>
      </c>
      <c r="N16" s="165" t="s">
        <v>511</v>
      </c>
    </row>
    <row r="17" spans="2:15">
      <c r="C17" s="31" t="s">
        <v>512</v>
      </c>
      <c r="D17" s="31" t="s">
        <v>513</v>
      </c>
      <c r="E17" s="111">
        <f>SQRT(3)*D4*18*0.95/1000</f>
        <v>11.847227523771121</v>
      </c>
      <c r="F17" s="31">
        <v>0.95</v>
      </c>
      <c r="G17" s="31">
        <v>1</v>
      </c>
      <c r="H17" s="31">
        <v>1</v>
      </c>
      <c r="I17" s="111">
        <f t="shared" ref="I17" si="2">E17*G17*H17</f>
        <v>11.847227523771121</v>
      </c>
      <c r="J17" s="111">
        <f t="shared" ref="J17" si="3">I17*TAN(ACOS(F17))</f>
        <v>3.8939953775011102</v>
      </c>
      <c r="L17" s="195">
        <f>I12+I18</f>
        <v>60.657477860652762</v>
      </c>
      <c r="M17" s="195">
        <f>J12+J18</f>
        <v>15.413995377501109</v>
      </c>
      <c r="N17" s="195">
        <f>SQRT(L17^2+M17^2)</f>
        <v>62.585308770614894</v>
      </c>
      <c r="O17" t="s">
        <v>514</v>
      </c>
    </row>
    <row r="18" spans="2:15">
      <c r="C18" s="97" t="s">
        <v>503</v>
      </c>
      <c r="D18" s="97"/>
      <c r="E18" s="97"/>
      <c r="F18" s="97"/>
      <c r="G18" s="97"/>
      <c r="H18" s="97"/>
      <c r="I18" s="185">
        <f>SUM(I16:I17)</f>
        <v>17.847227523771121</v>
      </c>
      <c r="J18" s="185">
        <f>SUM(J16:J17)</f>
        <v>3.8939953775011102</v>
      </c>
      <c r="L18" s="197">
        <f>L17*1.04</f>
        <v>63.083776975078877</v>
      </c>
      <c r="M18" s="197">
        <f t="shared" ref="M18" si="4">M17*1.04</f>
        <v>16.030555192601156</v>
      </c>
      <c r="N18" s="197">
        <f>SQRT(L18^2+M18^2)</f>
        <v>65.088721121439491</v>
      </c>
      <c r="O18" t="s">
        <v>515</v>
      </c>
    </row>
    <row r="19" spans="2:15">
      <c r="C19" s="198"/>
      <c r="D19" s="198"/>
      <c r="E19" s="198"/>
      <c r="F19" s="198"/>
      <c r="G19" s="198"/>
      <c r="H19" s="198"/>
      <c r="I19" s="199"/>
      <c r="J19" s="199"/>
    </row>
    <row r="20" spans="2:15" ht="15" customHeight="1">
      <c r="C20" s="200" t="s">
        <v>516</v>
      </c>
      <c r="D20" s="200"/>
      <c r="E20" s="200"/>
      <c r="F20" s="200"/>
      <c r="G20" s="200"/>
      <c r="H20" s="200"/>
      <c r="I20" s="200"/>
      <c r="J20" s="200"/>
      <c r="L20" s="108"/>
      <c r="M20" s="108"/>
      <c r="N20" s="108"/>
    </row>
    <row r="21" spans="2:15">
      <c r="C21" s="201"/>
      <c r="D21" s="201"/>
      <c r="E21" s="201"/>
      <c r="F21" s="201"/>
      <c r="G21" s="201"/>
      <c r="H21" s="201"/>
      <c r="I21" s="202"/>
      <c r="J21" s="202"/>
      <c r="L21" s="203"/>
      <c r="M21" s="203"/>
      <c r="N21" s="203"/>
    </row>
    <row r="24" spans="2:15" ht="18.75">
      <c r="B24" s="192" t="s">
        <v>517</v>
      </c>
    </row>
    <row r="25" spans="2:15">
      <c r="C25" s="193" t="s">
        <v>518</v>
      </c>
      <c r="D25" s="193" t="s">
        <v>519</v>
      </c>
      <c r="E25" s="204" t="s">
        <v>18</v>
      </c>
      <c r="F25" s="193" t="s">
        <v>493</v>
      </c>
      <c r="G25" s="193" t="s">
        <v>494</v>
      </c>
      <c r="H25" s="193" t="s">
        <v>496</v>
      </c>
      <c r="I25" s="193" t="s">
        <v>497</v>
      </c>
      <c r="J25" s="193" t="s">
        <v>520</v>
      </c>
      <c r="K25" s="205" t="s">
        <v>521</v>
      </c>
    </row>
    <row r="26" spans="2:15">
      <c r="C26" s="31" t="s">
        <v>522</v>
      </c>
      <c r="D26" s="31">
        <v>11</v>
      </c>
      <c r="E26" s="31">
        <v>0.87</v>
      </c>
      <c r="F26" s="31">
        <v>0.86</v>
      </c>
      <c r="G26" s="31">
        <v>1</v>
      </c>
      <c r="H26" s="111">
        <f>D26/E26*G26</f>
        <v>12.64367816091954</v>
      </c>
      <c r="I26" s="35">
        <f>H26*TAN(ACOS(F26))</f>
        <v>7.5023180456510978</v>
      </c>
      <c r="J26" s="206">
        <f>SQRT(H26^2+I26^2)</f>
        <v>14.701951349906441</v>
      </c>
      <c r="K26" s="3">
        <f>J26*1000/(3*$D$3)</f>
        <v>21.220438923703163</v>
      </c>
    </row>
    <row r="27" spans="2:15">
      <c r="C27" s="31" t="s">
        <v>523</v>
      </c>
      <c r="D27" s="31">
        <v>22</v>
      </c>
      <c r="E27" s="31">
        <v>0.89</v>
      </c>
      <c r="F27" s="31">
        <v>0.86</v>
      </c>
      <c r="G27" s="31">
        <v>1</v>
      </c>
      <c r="H27" s="111">
        <f t="shared" ref="H27:H28" si="5">D27/E27*G27</f>
        <v>24.719101123595504</v>
      </c>
      <c r="I27" s="35">
        <f t="shared" ref="I27:I28" si="6">H27*TAN(ACOS(F27))</f>
        <v>14.667453257789786</v>
      </c>
      <c r="J27" s="206">
        <f t="shared" ref="J27:J28" si="7">SQRT(H27^2+I27^2)</f>
        <v>28.743140841390119</v>
      </c>
      <c r="K27" s="3">
        <f t="shared" ref="K27:K28" si="8">J27*1000/(3*$D$3)</f>
        <v>41.487150255329773</v>
      </c>
    </row>
    <row r="28" spans="2:15">
      <c r="C28" s="31" t="s">
        <v>524</v>
      </c>
      <c r="D28" s="31">
        <v>37</v>
      </c>
      <c r="E28" s="31">
        <v>0.9</v>
      </c>
      <c r="F28" s="31">
        <v>0.86</v>
      </c>
      <c r="G28" s="31">
        <v>1</v>
      </c>
      <c r="H28" s="111">
        <f t="shared" si="5"/>
        <v>41.111111111111107</v>
      </c>
      <c r="I28" s="35">
        <f t="shared" si="6"/>
        <v>24.393900796920082</v>
      </c>
      <c r="J28" s="206">
        <f t="shared" si="7"/>
        <v>47.803617571059426</v>
      </c>
      <c r="K28" s="3">
        <f t="shared" si="8"/>
        <v>68.9985786822227</v>
      </c>
      <c r="L28" s="165" t="s">
        <v>525</v>
      </c>
      <c r="M28" s="165" t="s">
        <v>493</v>
      </c>
      <c r="N28" s="165" t="s">
        <v>259</v>
      </c>
    </row>
    <row r="29" spans="2:15">
      <c r="C29" s="97" t="s">
        <v>503</v>
      </c>
      <c r="D29" s="97"/>
      <c r="E29" s="97"/>
      <c r="F29" s="97"/>
      <c r="G29" s="97"/>
      <c r="H29" s="185">
        <f>SUM(H26:H28)</f>
        <v>78.473890395626142</v>
      </c>
      <c r="I29" s="185">
        <f>SUM(I26:I28)</f>
        <v>46.563672100360961</v>
      </c>
      <c r="J29" s="185">
        <f>SUM(J26:J28)</f>
        <v>91.248709762355986</v>
      </c>
      <c r="L29" s="119">
        <f>J29/(3*$D$3)*1000</f>
        <v>131.70616786125564</v>
      </c>
      <c r="M29" s="196">
        <f>H29/J29</f>
        <v>0.86</v>
      </c>
      <c r="N29" s="207">
        <v>160</v>
      </c>
    </row>
    <row r="32" spans="2:15" ht="18.75">
      <c r="B32" s="192" t="s">
        <v>526</v>
      </c>
    </row>
    <row r="33" spans="2:14">
      <c r="D33" s="193" t="s">
        <v>519</v>
      </c>
      <c r="E33" s="204" t="s">
        <v>18</v>
      </c>
      <c r="F33" s="193" t="s">
        <v>493</v>
      </c>
      <c r="G33" s="193" t="s">
        <v>494</v>
      </c>
      <c r="H33" s="193" t="s">
        <v>496</v>
      </c>
      <c r="I33" s="193" t="s">
        <v>497</v>
      </c>
      <c r="J33" s="193" t="s">
        <v>520</v>
      </c>
      <c r="L33" s="165" t="s">
        <v>525</v>
      </c>
      <c r="M33" s="165" t="s">
        <v>493</v>
      </c>
      <c r="N33" s="165" t="s">
        <v>259</v>
      </c>
    </row>
    <row r="34" spans="2:14">
      <c r="D34" s="31">
        <v>75</v>
      </c>
      <c r="E34" s="31">
        <v>0.92</v>
      </c>
      <c r="F34" s="31">
        <v>0.87</v>
      </c>
      <c r="G34" s="31">
        <v>0.8</v>
      </c>
      <c r="H34" s="111">
        <f>D34/E34*G34</f>
        <v>65.217391304347828</v>
      </c>
      <c r="I34" s="111">
        <f>H34*TAN(ACOS(F34))</f>
        <v>36.960398907409441</v>
      </c>
      <c r="J34" s="206">
        <f t="shared" ref="J34" si="9">SQRT(H34^2+I34^2)</f>
        <v>74.96251874062969</v>
      </c>
      <c r="L34" s="119">
        <f>J34/(3*$D$3)*1000</f>
        <v>108.19907593508728</v>
      </c>
      <c r="M34" s="196">
        <f>H34/J34</f>
        <v>0.87</v>
      </c>
      <c r="N34" s="207">
        <v>125</v>
      </c>
    </row>
    <row r="37" spans="2:14" ht="18.75">
      <c r="B37" s="192" t="s">
        <v>527</v>
      </c>
    </row>
    <row r="38" spans="2:14">
      <c r="D38" s="193" t="s">
        <v>519</v>
      </c>
      <c r="E38" s="204" t="s">
        <v>18</v>
      </c>
      <c r="F38" s="193" t="s">
        <v>493</v>
      </c>
      <c r="G38" s="193" t="s">
        <v>494</v>
      </c>
      <c r="H38" s="193" t="s">
        <v>496</v>
      </c>
      <c r="I38" s="193" t="s">
        <v>497</v>
      </c>
      <c r="J38" s="193" t="s">
        <v>520</v>
      </c>
      <c r="L38" s="165" t="s">
        <v>525</v>
      </c>
      <c r="M38" s="165" t="s">
        <v>493</v>
      </c>
      <c r="N38" s="165" t="s">
        <v>259</v>
      </c>
    </row>
    <row r="39" spans="2:14">
      <c r="D39" s="31">
        <v>110</v>
      </c>
      <c r="E39" s="31">
        <v>0.93</v>
      </c>
      <c r="F39" s="31">
        <v>0.87</v>
      </c>
      <c r="G39" s="31">
        <v>1</v>
      </c>
      <c r="H39" s="111">
        <f>D39/E39*G39</f>
        <v>118.27956989247311</v>
      </c>
      <c r="I39" s="111">
        <v>0</v>
      </c>
      <c r="J39" s="206">
        <f t="shared" ref="J39" si="10">SQRT(H39^2+I39^2)</f>
        <v>118.27956989247311</v>
      </c>
      <c r="L39" s="119">
        <f>J39/(3*$D$3)*1000</f>
        <v>170.72185379263124</v>
      </c>
      <c r="M39" s="196">
        <f>H39/J39</f>
        <v>1</v>
      </c>
      <c r="N39" s="207">
        <v>200</v>
      </c>
    </row>
    <row r="41" spans="2:14" ht="18.75">
      <c r="B41" s="192" t="s">
        <v>528</v>
      </c>
    </row>
    <row r="42" spans="2:14">
      <c r="E42" s="193" t="s">
        <v>511</v>
      </c>
      <c r="F42" s="193" t="s">
        <v>495</v>
      </c>
      <c r="G42" s="193" t="s">
        <v>493</v>
      </c>
      <c r="H42" s="193" t="s">
        <v>496</v>
      </c>
      <c r="I42" s="193" t="s">
        <v>497</v>
      </c>
      <c r="J42" s="193" t="s">
        <v>520</v>
      </c>
      <c r="L42" s="165" t="s">
        <v>525</v>
      </c>
      <c r="M42" s="165" t="s">
        <v>493</v>
      </c>
      <c r="N42" s="165" t="s">
        <v>259</v>
      </c>
    </row>
    <row r="43" spans="2:14">
      <c r="E43" s="31">
        <v>340</v>
      </c>
      <c r="F43" s="31">
        <v>0.8</v>
      </c>
      <c r="G43" s="31">
        <v>0.8</v>
      </c>
      <c r="H43" s="111">
        <f>J43*G43</f>
        <v>217.60000000000002</v>
      </c>
      <c r="I43" s="111">
        <f>SQRT(J43^2-H43^2)</f>
        <v>163.19999999999996</v>
      </c>
      <c r="J43" s="206">
        <f>E43*F43</f>
        <v>272</v>
      </c>
      <c r="L43" s="119">
        <f>J43/SQRT(3)/$D$4*1000</f>
        <v>392.59818304894549</v>
      </c>
      <c r="M43" s="196">
        <f>H43/J43</f>
        <v>0.8</v>
      </c>
      <c r="N43" s="207">
        <v>400</v>
      </c>
    </row>
    <row r="45" spans="2:14" ht="18.75">
      <c r="B45" s="192" t="s">
        <v>529</v>
      </c>
    </row>
    <row r="47" spans="2:14">
      <c r="C47" s="97" t="s">
        <v>530</v>
      </c>
      <c r="D47" s="98" t="s">
        <v>531</v>
      </c>
      <c r="E47" s="208" t="s">
        <v>496</v>
      </c>
      <c r="F47" s="208" t="s">
        <v>532</v>
      </c>
      <c r="G47" s="208" t="s">
        <v>533</v>
      </c>
      <c r="H47" s="208" t="s">
        <v>504</v>
      </c>
      <c r="I47" s="208" t="s">
        <v>25</v>
      </c>
    </row>
    <row r="48" spans="2:14">
      <c r="C48" s="31" t="s">
        <v>534</v>
      </c>
      <c r="D48" s="104">
        <v>3</v>
      </c>
      <c r="E48" s="111">
        <f>L18</f>
        <v>63.083776975078877</v>
      </c>
      <c r="F48" s="111">
        <f>M18</f>
        <v>16.030555192601156</v>
      </c>
      <c r="G48" s="111">
        <f>N18</f>
        <v>65.088721121439491</v>
      </c>
      <c r="H48" s="111">
        <f>G48*1000/SQRT(3)/$D$4</f>
        <v>93.94747665167894</v>
      </c>
      <c r="I48" s="209">
        <v>100</v>
      </c>
    </row>
    <row r="49" spans="3:15">
      <c r="C49" s="31" t="s">
        <v>535</v>
      </c>
      <c r="D49" s="104">
        <v>4</v>
      </c>
      <c r="E49" s="111">
        <f>H29</f>
        <v>78.473890395626142</v>
      </c>
      <c r="F49" s="111">
        <f>I29</f>
        <v>46.563672100360961</v>
      </c>
      <c r="G49" s="111">
        <f>J29</f>
        <v>91.248709762355986</v>
      </c>
      <c r="H49" s="111">
        <f t="shared" ref="H49:H53" si="11">G49*1000/SQRT(3)/$D$4</f>
        <v>131.70616786125566</v>
      </c>
      <c r="I49" s="209">
        <v>160</v>
      </c>
    </row>
    <row r="50" spans="3:15">
      <c r="C50" s="31" t="s">
        <v>536</v>
      </c>
      <c r="D50" s="104">
        <v>5</v>
      </c>
      <c r="E50" s="111">
        <f>H34</f>
        <v>65.217391304347828</v>
      </c>
      <c r="F50" s="111">
        <f>I34</f>
        <v>36.960398907409441</v>
      </c>
      <c r="G50" s="111">
        <f>J34</f>
        <v>74.96251874062969</v>
      </c>
      <c r="H50" s="111">
        <f t="shared" si="11"/>
        <v>108.19907593508729</v>
      </c>
      <c r="I50" s="209">
        <v>125</v>
      </c>
    </row>
    <row r="51" spans="3:15">
      <c r="C51" s="31" t="s">
        <v>537</v>
      </c>
      <c r="D51" s="104">
        <v>6</v>
      </c>
      <c r="E51" s="111">
        <f>H39</f>
        <v>118.27956989247311</v>
      </c>
      <c r="F51" s="111">
        <f>I39</f>
        <v>0</v>
      </c>
      <c r="G51" s="111">
        <f>J39</f>
        <v>118.27956989247311</v>
      </c>
      <c r="H51" s="111">
        <f t="shared" si="11"/>
        <v>170.72185379263126</v>
      </c>
      <c r="I51" s="209">
        <v>200</v>
      </c>
    </row>
    <row r="52" spans="3:15">
      <c r="C52" s="31" t="s">
        <v>538</v>
      </c>
      <c r="D52" s="104">
        <v>7</v>
      </c>
      <c r="E52" s="111">
        <f>H43</f>
        <v>217.60000000000002</v>
      </c>
      <c r="F52" s="111">
        <f>I43</f>
        <v>163.19999999999996</v>
      </c>
      <c r="G52" s="111">
        <f>J43</f>
        <v>272</v>
      </c>
      <c r="H52" s="111">
        <f t="shared" si="11"/>
        <v>392.5981830489456</v>
      </c>
      <c r="I52" s="209">
        <v>400</v>
      </c>
      <c r="K52" s="210" t="s">
        <v>539</v>
      </c>
      <c r="L52" s="211" t="s">
        <v>540</v>
      </c>
      <c r="M52" s="211" t="s">
        <v>541</v>
      </c>
      <c r="N52" s="211" t="s">
        <v>542</v>
      </c>
      <c r="O52" s="165" t="s">
        <v>493</v>
      </c>
    </row>
    <row r="53" spans="3:15">
      <c r="C53" s="97" t="s">
        <v>543</v>
      </c>
      <c r="D53" s="98" t="s">
        <v>3</v>
      </c>
      <c r="E53" s="185">
        <f>SUM(E48:E52)</f>
        <v>542.65462856752595</v>
      </c>
      <c r="F53" s="185">
        <f>SUM(F48:F52)</f>
        <v>262.75462620037149</v>
      </c>
      <c r="G53" s="185">
        <f>SUM(G48:G52)</f>
        <v>621.57951951689824</v>
      </c>
      <c r="H53" s="185">
        <f t="shared" si="11"/>
        <v>897.17275728959862</v>
      </c>
      <c r="I53" s="212">
        <v>1000</v>
      </c>
      <c r="K53" s="213">
        <v>0.7</v>
      </c>
      <c r="L53" s="214">
        <f>G53/K53</f>
        <v>887.97074216699752</v>
      </c>
      <c r="M53" s="214">
        <v>1000</v>
      </c>
      <c r="N53" s="214">
        <f>L53*1000/(3*D3)</f>
        <v>1281.6753675565692</v>
      </c>
      <c r="O53" s="196">
        <f>E53/G53</f>
        <v>0.87302527114999862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X98"/>
  <sheetViews>
    <sheetView topLeftCell="A67" zoomScaleNormal="100" workbookViewId="0">
      <selection activeCell="C65" sqref="C65"/>
    </sheetView>
  </sheetViews>
  <sheetFormatPr defaultRowHeight="15"/>
  <cols>
    <col min="1" max="1" width="4.140625" customWidth="1"/>
    <col min="3" max="3" width="39.140625" bestFit="1" customWidth="1"/>
    <col min="4" max="4" width="11.5703125" bestFit="1" customWidth="1"/>
    <col min="5" max="14" width="9" customWidth="1"/>
    <col min="15" max="15" width="9" style="1" customWidth="1"/>
    <col min="16" max="16" width="9" customWidth="1"/>
  </cols>
  <sheetData>
    <row r="3" spans="2:14" ht="15.75">
      <c r="B3" s="96" t="s">
        <v>232</v>
      </c>
    </row>
    <row r="8" spans="2:14">
      <c r="C8" s="97" t="s">
        <v>233</v>
      </c>
      <c r="D8" s="98" t="s">
        <v>234</v>
      </c>
      <c r="E8" s="98" t="s">
        <v>11</v>
      </c>
      <c r="F8" s="99">
        <f>F11*(F12*F13/F14*F15+F16/1000*F13*SIN(ACOS(F15)))*F17</f>
        <v>6.6740771781662334</v>
      </c>
    </row>
    <row r="9" spans="2:14">
      <c r="C9" s="97" t="s">
        <v>233</v>
      </c>
      <c r="D9" s="98" t="s">
        <v>235</v>
      </c>
      <c r="E9" s="98" t="s">
        <v>1</v>
      </c>
      <c r="F9" s="100">
        <f>F8/F10</f>
        <v>2.9017726861592319E-2</v>
      </c>
      <c r="I9" s="101"/>
      <c r="J9" s="101"/>
      <c r="K9" s="101"/>
      <c r="L9" s="101"/>
      <c r="M9" s="102" t="s">
        <v>236</v>
      </c>
      <c r="N9" s="103"/>
    </row>
    <row r="10" spans="2:14">
      <c r="C10" s="31" t="s">
        <v>237</v>
      </c>
      <c r="D10" s="104" t="s">
        <v>16</v>
      </c>
      <c r="E10" s="104" t="s">
        <v>11</v>
      </c>
      <c r="F10" s="31">
        <v>230</v>
      </c>
      <c r="I10" s="101"/>
      <c r="J10" s="101"/>
      <c r="K10" s="101"/>
      <c r="L10" s="105" t="s">
        <v>238</v>
      </c>
      <c r="M10" s="102">
        <v>1</v>
      </c>
      <c r="N10" s="103"/>
    </row>
    <row r="11" spans="2:14">
      <c r="C11" s="31" t="s">
        <v>239</v>
      </c>
      <c r="D11" s="104" t="s">
        <v>236</v>
      </c>
      <c r="E11" s="104" t="s">
        <v>240</v>
      </c>
      <c r="F11" s="31">
        <v>1</v>
      </c>
      <c r="I11" s="101"/>
      <c r="J11" s="101"/>
      <c r="K11" s="101"/>
      <c r="L11" s="105" t="s">
        <v>241</v>
      </c>
      <c r="M11" s="102">
        <v>2</v>
      </c>
      <c r="N11" s="103"/>
    </row>
    <row r="12" spans="2:14">
      <c r="C12" s="31" t="s">
        <v>242</v>
      </c>
      <c r="D12" s="106" t="s">
        <v>243</v>
      </c>
      <c r="E12" s="107" t="s">
        <v>244</v>
      </c>
      <c r="F12" s="31">
        <v>2.2499999999999999E-2</v>
      </c>
      <c r="J12" s="71"/>
      <c r="N12" s="108"/>
    </row>
    <row r="13" spans="2:14">
      <c r="C13" s="31" t="s">
        <v>49</v>
      </c>
      <c r="D13" s="104" t="s">
        <v>245</v>
      </c>
      <c r="E13" s="107" t="s">
        <v>50</v>
      </c>
      <c r="F13" s="31">
        <v>75</v>
      </c>
      <c r="L13" s="101"/>
      <c r="M13" s="109" t="s">
        <v>243</v>
      </c>
      <c r="N13" s="110"/>
    </row>
    <row r="14" spans="2:14">
      <c r="C14" s="31" t="s">
        <v>246</v>
      </c>
      <c r="D14" s="104" t="s">
        <v>247</v>
      </c>
      <c r="E14" s="104" t="s">
        <v>99</v>
      </c>
      <c r="F14" s="31">
        <v>25</v>
      </c>
      <c r="L14" s="105" t="s">
        <v>76</v>
      </c>
      <c r="M14" s="101">
        <v>2.2499999999999999E-2</v>
      </c>
      <c r="N14" s="108"/>
    </row>
    <row r="15" spans="2:14">
      <c r="C15" s="31" t="s">
        <v>54</v>
      </c>
      <c r="D15" s="104" t="s">
        <v>2</v>
      </c>
      <c r="E15" s="104" t="s">
        <v>3</v>
      </c>
      <c r="F15" s="111">
        <f>bal_pot!M34</f>
        <v>0.87</v>
      </c>
      <c r="L15" s="105" t="s">
        <v>189</v>
      </c>
      <c r="M15" s="112">
        <v>3.5999999999999997E-2</v>
      </c>
      <c r="N15" s="113"/>
    </row>
    <row r="16" spans="2:14">
      <c r="C16" s="31" t="s">
        <v>248</v>
      </c>
      <c r="D16" s="106" t="s">
        <v>249</v>
      </c>
      <c r="E16" s="104" t="s">
        <v>250</v>
      </c>
      <c r="F16" s="31">
        <v>0.08</v>
      </c>
      <c r="N16" s="108"/>
    </row>
    <row r="17" spans="2:15">
      <c r="C17" s="31" t="s">
        <v>107</v>
      </c>
      <c r="D17" s="104" t="s">
        <v>22</v>
      </c>
      <c r="E17" s="104" t="s">
        <v>9</v>
      </c>
      <c r="F17" s="35">
        <f>bal_pot!L34</f>
        <v>108.19907593508728</v>
      </c>
      <c r="J17" s="101" t="s">
        <v>149</v>
      </c>
      <c r="K17" s="101"/>
      <c r="L17" s="101" t="s">
        <v>251</v>
      </c>
      <c r="M17" s="101" t="s">
        <v>252</v>
      </c>
      <c r="N17" s="108"/>
    </row>
    <row r="18" spans="2:15">
      <c r="J18" s="101"/>
      <c r="K18" s="105" t="s">
        <v>253</v>
      </c>
      <c r="L18" s="114">
        <v>0.03</v>
      </c>
      <c r="M18" s="114">
        <v>0.05</v>
      </c>
      <c r="N18" s="115"/>
    </row>
    <row r="19" spans="2:15">
      <c r="J19" s="101"/>
      <c r="K19" s="105" t="s">
        <v>254</v>
      </c>
      <c r="L19" s="114">
        <v>0.06</v>
      </c>
      <c r="M19" s="114">
        <v>0.08</v>
      </c>
      <c r="N19" s="115"/>
    </row>
    <row r="26" spans="2:15" ht="15.75">
      <c r="B26" s="96" t="s">
        <v>255</v>
      </c>
      <c r="F26" s="1"/>
    </row>
    <row r="27" spans="2:15">
      <c r="F27" s="1"/>
    </row>
    <row r="28" spans="2:15">
      <c r="C28" t="s">
        <v>256</v>
      </c>
      <c r="F28" s="1"/>
    </row>
    <row r="29" spans="2:15">
      <c r="C29" t="s">
        <v>257</v>
      </c>
      <c r="F29" s="1"/>
    </row>
    <row r="30" spans="2:15">
      <c r="F30" s="1"/>
      <c r="M30" s="116" t="s">
        <v>258</v>
      </c>
      <c r="N30" s="116"/>
      <c r="O30" s="116" t="s">
        <v>259</v>
      </c>
    </row>
    <row r="31" spans="2:15">
      <c r="C31" t="s">
        <v>260</v>
      </c>
      <c r="D31" s="1" t="s">
        <v>3</v>
      </c>
      <c r="E31" s="1"/>
      <c r="F31" s="117" t="s">
        <v>197</v>
      </c>
      <c r="G31" t="s">
        <v>87</v>
      </c>
      <c r="K31" t="s">
        <v>197</v>
      </c>
      <c r="M31" s="1" t="s">
        <v>9</v>
      </c>
      <c r="N31" s="1"/>
      <c r="O31" s="1">
        <v>2</v>
      </c>
    </row>
    <row r="32" spans="2:15">
      <c r="C32" t="s">
        <v>196</v>
      </c>
      <c r="D32" s="1"/>
      <c r="F32" s="117" t="s">
        <v>189</v>
      </c>
      <c r="G32" t="s">
        <v>87</v>
      </c>
      <c r="K32" t="s">
        <v>261</v>
      </c>
      <c r="M32" s="1" t="s">
        <v>262</v>
      </c>
      <c r="N32" s="1"/>
      <c r="O32" s="1">
        <v>4</v>
      </c>
    </row>
    <row r="33" spans="3:15">
      <c r="C33" t="s">
        <v>263</v>
      </c>
      <c r="D33" s="1" t="s">
        <v>3</v>
      </c>
      <c r="E33" s="1"/>
      <c r="F33" s="117" t="s">
        <v>111</v>
      </c>
      <c r="G33" t="s">
        <v>109</v>
      </c>
      <c r="M33" s="1" t="s">
        <v>264</v>
      </c>
      <c r="N33" s="1"/>
      <c r="O33" s="1">
        <v>6</v>
      </c>
    </row>
    <row r="34" spans="3:15">
      <c r="C34" t="s">
        <v>265</v>
      </c>
      <c r="D34" s="1" t="s">
        <v>266</v>
      </c>
      <c r="E34" s="1"/>
      <c r="F34" s="117">
        <v>3</v>
      </c>
      <c r="K34" t="s">
        <v>76</v>
      </c>
      <c r="M34" s="1" t="s">
        <v>267</v>
      </c>
      <c r="N34" s="1"/>
      <c r="O34" s="1">
        <v>8</v>
      </c>
    </row>
    <row r="35" spans="3:15">
      <c r="C35" t="s">
        <v>268</v>
      </c>
      <c r="D35" s="1" t="s">
        <v>300</v>
      </c>
      <c r="E35" s="1" t="s">
        <v>9</v>
      </c>
      <c r="F35" s="117">
        <v>197</v>
      </c>
      <c r="G35" t="s">
        <v>134</v>
      </c>
      <c r="K35" t="s">
        <v>189</v>
      </c>
      <c r="M35" s="1" t="s">
        <v>270</v>
      </c>
      <c r="N35" s="1"/>
      <c r="O35" s="1">
        <v>10</v>
      </c>
    </row>
    <row r="36" spans="3:15">
      <c r="C36" t="s">
        <v>271</v>
      </c>
      <c r="D36" s="1" t="s">
        <v>272</v>
      </c>
      <c r="E36" s="1"/>
      <c r="F36" s="117">
        <v>1</v>
      </c>
      <c r="G36" t="s">
        <v>273</v>
      </c>
      <c r="M36" s="1" t="s">
        <v>111</v>
      </c>
      <c r="N36" s="1"/>
      <c r="O36" s="1">
        <v>12</v>
      </c>
    </row>
    <row r="37" spans="3:15">
      <c r="C37" t="s">
        <v>274</v>
      </c>
      <c r="D37" s="1" t="s">
        <v>275</v>
      </c>
      <c r="E37" s="1"/>
      <c r="F37" s="117">
        <v>0.95</v>
      </c>
      <c r="G37" t="s">
        <v>114</v>
      </c>
      <c r="M37" s="1" t="s">
        <v>276</v>
      </c>
      <c r="N37" s="1"/>
      <c r="O37" s="1">
        <v>16</v>
      </c>
    </row>
    <row r="38" spans="3:15">
      <c r="C38" t="s">
        <v>277</v>
      </c>
      <c r="D38" s="1" t="s">
        <v>278</v>
      </c>
      <c r="E38" s="1"/>
      <c r="F38" s="117">
        <v>1</v>
      </c>
      <c r="G38" t="s">
        <v>279</v>
      </c>
      <c r="M38" s="1" t="s">
        <v>280</v>
      </c>
      <c r="N38" s="1"/>
      <c r="O38" s="1">
        <v>20</v>
      </c>
    </row>
    <row r="39" spans="3:15">
      <c r="C39" t="s">
        <v>281</v>
      </c>
      <c r="D39" s="1" t="s">
        <v>282</v>
      </c>
      <c r="E39" s="1"/>
      <c r="F39" s="117">
        <v>1</v>
      </c>
      <c r="G39" t="s">
        <v>116</v>
      </c>
      <c r="M39" s="1" t="s">
        <v>283</v>
      </c>
      <c r="N39" s="1"/>
      <c r="O39" s="1">
        <v>25</v>
      </c>
    </row>
    <row r="40" spans="3:15">
      <c r="C40" t="s">
        <v>284</v>
      </c>
      <c r="D40" s="1" t="s">
        <v>285</v>
      </c>
      <c r="E40" s="1"/>
      <c r="F40" s="117">
        <v>1</v>
      </c>
      <c r="G40" t="s">
        <v>286</v>
      </c>
      <c r="K40" s="118" t="s">
        <v>287</v>
      </c>
      <c r="O40" s="1">
        <v>32</v>
      </c>
    </row>
    <row r="41" spans="3:15">
      <c r="C41" t="s">
        <v>288</v>
      </c>
      <c r="D41" s="1" t="s">
        <v>289</v>
      </c>
      <c r="E41" s="1"/>
      <c r="F41" s="117">
        <v>1</v>
      </c>
      <c r="G41" t="s">
        <v>290</v>
      </c>
      <c r="J41" s="71" t="s">
        <v>291</v>
      </c>
      <c r="K41">
        <v>1.45</v>
      </c>
      <c r="O41" s="1">
        <v>40</v>
      </c>
    </row>
    <row r="42" spans="3:15">
      <c r="C42" t="s">
        <v>292</v>
      </c>
      <c r="D42" s="1" t="s">
        <v>293</v>
      </c>
      <c r="E42" s="1"/>
      <c r="F42" s="117">
        <v>1</v>
      </c>
      <c r="G42" t="s">
        <v>294</v>
      </c>
      <c r="J42" s="71" t="s">
        <v>295</v>
      </c>
      <c r="K42" s="2">
        <v>1.3</v>
      </c>
      <c r="O42" s="1">
        <v>50</v>
      </c>
    </row>
    <row r="43" spans="3:15">
      <c r="C43" t="s">
        <v>296</v>
      </c>
      <c r="D43" s="1" t="s">
        <v>297</v>
      </c>
      <c r="E43" s="1"/>
      <c r="F43" s="104">
        <f>F36*F37*F38*F39*F40*F41*F42</f>
        <v>0.95</v>
      </c>
      <c r="J43" s="71" t="s">
        <v>298</v>
      </c>
      <c r="K43" s="2">
        <v>1.6</v>
      </c>
      <c r="O43" s="1">
        <v>63</v>
      </c>
    </row>
    <row r="44" spans="3:15">
      <c r="C44" t="s">
        <v>299</v>
      </c>
      <c r="D44" s="1" t="s">
        <v>269</v>
      </c>
      <c r="E44" s="1" t="s">
        <v>9</v>
      </c>
      <c r="F44" s="119">
        <f>F35*F43</f>
        <v>187.14999999999998</v>
      </c>
      <c r="J44" s="71" t="s">
        <v>301</v>
      </c>
      <c r="K44" s="2">
        <v>1.9</v>
      </c>
      <c r="O44" s="1">
        <v>80</v>
      </c>
    </row>
    <row r="45" spans="3:15">
      <c r="C45" t="s">
        <v>302</v>
      </c>
      <c r="D45" s="1" t="s">
        <v>259</v>
      </c>
      <c r="E45" s="1" t="s">
        <v>9</v>
      </c>
      <c r="F45" s="117">
        <v>160</v>
      </c>
      <c r="J45" s="71" t="s">
        <v>303</v>
      </c>
      <c r="K45" s="2">
        <v>2.1</v>
      </c>
      <c r="O45" s="1">
        <v>100</v>
      </c>
    </row>
    <row r="46" spans="3:15">
      <c r="C46" s="5" t="s">
        <v>304</v>
      </c>
      <c r="D46" s="6" t="s">
        <v>544</v>
      </c>
      <c r="E46" s="6" t="s">
        <v>143</v>
      </c>
      <c r="F46" s="98" t="str">
        <f>IF($F$45&lt;=$F$44,"OK!","!!!!!!!!!")</f>
        <v>OK!</v>
      </c>
      <c r="J46" s="71"/>
      <c r="O46" s="1">
        <v>125</v>
      </c>
    </row>
    <row r="47" spans="3:15">
      <c r="C47" t="s">
        <v>305</v>
      </c>
      <c r="D47" s="1" t="s">
        <v>287</v>
      </c>
      <c r="E47" s="1" t="s">
        <v>3</v>
      </c>
      <c r="F47" s="120">
        <v>1.6</v>
      </c>
      <c r="J47" s="71"/>
      <c r="O47" s="1">
        <v>160</v>
      </c>
    </row>
    <row r="48" spans="3:15">
      <c r="C48" t="s">
        <v>306</v>
      </c>
      <c r="D48" s="1" t="s">
        <v>307</v>
      </c>
      <c r="E48" s="1" t="s">
        <v>9</v>
      </c>
      <c r="F48" s="104">
        <f>F47*F45</f>
        <v>256</v>
      </c>
      <c r="J48" s="71"/>
      <c r="O48" s="1">
        <v>200</v>
      </c>
    </row>
    <row r="49" spans="3:15">
      <c r="C49" t="s">
        <v>308</v>
      </c>
      <c r="D49" s="1" t="s">
        <v>545</v>
      </c>
      <c r="E49" s="1" t="s">
        <v>9</v>
      </c>
      <c r="F49" s="119">
        <f>1.45*F44</f>
        <v>271.36749999999995</v>
      </c>
      <c r="O49" s="1">
        <v>250</v>
      </c>
    </row>
    <row r="50" spans="3:15">
      <c r="C50" s="5" t="s">
        <v>309</v>
      </c>
      <c r="D50" s="6" t="s">
        <v>546</v>
      </c>
      <c r="E50" s="6" t="s">
        <v>143</v>
      </c>
      <c r="F50" s="98" t="str">
        <f>IF($F$48&lt;=$F$49,"OK!","!!!!!!!!!")</f>
        <v>OK!</v>
      </c>
      <c r="O50" s="1">
        <v>315</v>
      </c>
    </row>
    <row r="51" spans="3:15" ht="18.75">
      <c r="C51" s="121" t="s">
        <v>310</v>
      </c>
      <c r="D51" s="122" t="s">
        <v>259</v>
      </c>
      <c r="E51" s="122" t="s">
        <v>9</v>
      </c>
      <c r="F51" s="122">
        <f>F45</f>
        <v>160</v>
      </c>
      <c r="O51" s="1">
        <v>400</v>
      </c>
    </row>
    <row r="52" spans="3:15">
      <c r="F52" s="1"/>
      <c r="O52" s="1">
        <v>500</v>
      </c>
    </row>
    <row r="53" spans="3:15">
      <c r="F53" s="1"/>
      <c r="O53" s="1">
        <v>630</v>
      </c>
    </row>
    <row r="54" spans="3:15">
      <c r="F54" s="1"/>
      <c r="O54" s="1">
        <v>800</v>
      </c>
    </row>
    <row r="55" spans="3:15">
      <c r="F55" s="1"/>
      <c r="O55" s="1">
        <v>1000</v>
      </c>
    </row>
    <row r="56" spans="3:15">
      <c r="F56" s="1"/>
      <c r="O56" s="1">
        <v>1250</v>
      </c>
    </row>
    <row r="57" spans="3:15">
      <c r="O57" s="1">
        <v>1600</v>
      </c>
    </row>
    <row r="58" spans="3:15">
      <c r="O58" s="1">
        <v>2000</v>
      </c>
    </row>
    <row r="59" spans="3:15">
      <c r="O59" s="1">
        <v>2500</v>
      </c>
    </row>
    <row r="60" spans="3:15">
      <c r="O60" s="1">
        <v>3200</v>
      </c>
    </row>
    <row r="61" spans="3:15">
      <c r="O61" s="1">
        <v>4000</v>
      </c>
    </row>
    <row r="62" spans="3:15">
      <c r="O62" s="1">
        <v>5000</v>
      </c>
    </row>
    <row r="63" spans="3:15">
      <c r="O63" s="1">
        <v>6300</v>
      </c>
    </row>
    <row r="65" spans="2:24" ht="30">
      <c r="B65" s="96" t="s">
        <v>311</v>
      </c>
      <c r="N65" s="123"/>
      <c r="O65" s="123" t="s">
        <v>312</v>
      </c>
    </row>
    <row r="67" spans="2:24" ht="30">
      <c r="B67" s="124" t="s">
        <v>313</v>
      </c>
      <c r="C67" s="124" t="s">
        <v>314</v>
      </c>
      <c r="D67" s="125" t="s">
        <v>315</v>
      </c>
      <c r="E67" s="124" t="s">
        <v>316</v>
      </c>
      <c r="F67" s="124" t="s">
        <v>317</v>
      </c>
      <c r="G67" s="124" t="s">
        <v>318</v>
      </c>
      <c r="H67" s="124" t="s">
        <v>319</v>
      </c>
      <c r="I67" s="124" t="s">
        <v>320</v>
      </c>
      <c r="J67" s="124" t="s">
        <v>321</v>
      </c>
      <c r="K67" s="126" t="s">
        <v>322</v>
      </c>
      <c r="L67" s="126" t="s">
        <v>323</v>
      </c>
      <c r="M67" s="126" t="s">
        <v>324</v>
      </c>
      <c r="N67" s="126" t="s">
        <v>325</v>
      </c>
      <c r="O67" s="126" t="s">
        <v>326</v>
      </c>
      <c r="P67" s="126" t="s">
        <v>327</v>
      </c>
      <c r="Q67" s="126" t="s">
        <v>328</v>
      </c>
      <c r="R67" s="126" t="s">
        <v>329</v>
      </c>
      <c r="S67" s="126" t="s">
        <v>330</v>
      </c>
      <c r="T67" s="126" t="s">
        <v>331</v>
      </c>
      <c r="U67" s="126" t="s">
        <v>332</v>
      </c>
      <c r="W67" t="s">
        <v>333</v>
      </c>
    </row>
    <row r="68" spans="2:24" ht="45">
      <c r="B68" s="127" t="s">
        <v>334</v>
      </c>
      <c r="C68" s="128" t="s">
        <v>335</v>
      </c>
      <c r="D68" s="129" t="s">
        <v>280</v>
      </c>
      <c r="E68" s="129">
        <v>0.96</v>
      </c>
      <c r="F68" s="129">
        <v>1</v>
      </c>
      <c r="G68" s="129">
        <v>0.77</v>
      </c>
      <c r="H68" s="129">
        <v>1</v>
      </c>
      <c r="I68" s="129">
        <v>1</v>
      </c>
      <c r="J68" s="130">
        <f t="shared" ref="J68:J77" si="0">E68*F68*G68*H68*I68</f>
        <v>0.73919999999999997</v>
      </c>
      <c r="K68" s="215">
        <f>bal_pot!N53</f>
        <v>1281.6753675565692</v>
      </c>
      <c r="L68" s="131">
        <v>1600</v>
      </c>
      <c r="M68" s="132">
        <f>0.9*0.9</f>
        <v>0.81</v>
      </c>
      <c r="N68" s="133">
        <f>L68*M68</f>
        <v>1296</v>
      </c>
      <c r="O68" s="134">
        <f>N68/J68</f>
        <v>1753.2467532467533</v>
      </c>
      <c r="P68" s="135" t="s">
        <v>336</v>
      </c>
      <c r="Q68" s="136">
        <f>4*444</f>
        <v>1776</v>
      </c>
      <c r="R68" s="129" t="s">
        <v>337</v>
      </c>
      <c r="S68" s="129" t="str">
        <f>IF(K68&lt;=N68,"OK!","!!!!!!!!!")</f>
        <v>OK!</v>
      </c>
      <c r="T68" s="129" t="str">
        <f>IF(N68&lt;=Q68*J68,"OK!","!!!!!!!!!")</f>
        <v>OK!</v>
      </c>
      <c r="U68" s="129" t="str">
        <f>IF(N68*$K$42&lt;=Q68*J68*1.45,"OK!","!!!!!!!!!")</f>
        <v>OK!</v>
      </c>
      <c r="W68" s="137" t="s">
        <v>338</v>
      </c>
      <c r="X68" s="137" t="s">
        <v>339</v>
      </c>
    </row>
    <row r="69" spans="2:24" ht="45">
      <c r="B69" s="127" t="s">
        <v>340</v>
      </c>
      <c r="C69" s="128" t="s">
        <v>335</v>
      </c>
      <c r="D69" s="129" t="str">
        <f>D68</f>
        <v>F</v>
      </c>
      <c r="E69" s="129">
        <f>E68</f>
        <v>0.96</v>
      </c>
      <c r="F69" s="129">
        <f t="shared" ref="F69:I69" si="1">F68</f>
        <v>1</v>
      </c>
      <c r="G69" s="129">
        <f t="shared" si="1"/>
        <v>0.77</v>
      </c>
      <c r="H69" s="129">
        <f t="shared" si="1"/>
        <v>1</v>
      </c>
      <c r="I69" s="129">
        <f t="shared" si="1"/>
        <v>1</v>
      </c>
      <c r="J69" s="130">
        <f t="shared" si="0"/>
        <v>0.73919999999999997</v>
      </c>
      <c r="K69" s="215">
        <f>K68</f>
        <v>1281.6753675565692</v>
      </c>
      <c r="L69" s="131">
        <v>1600</v>
      </c>
      <c r="M69" s="132">
        <f t="shared" ref="M69" si="2">M68</f>
        <v>0.81</v>
      </c>
      <c r="N69" s="133">
        <f t="shared" ref="N69:N77" si="3">L69*M69</f>
        <v>1296</v>
      </c>
      <c r="O69" s="134">
        <f>O68</f>
        <v>1753.2467532467533</v>
      </c>
      <c r="P69" s="135" t="str">
        <f>P68</f>
        <v>C11</v>
      </c>
      <c r="Q69" s="136">
        <f>Q68</f>
        <v>1776</v>
      </c>
      <c r="R69" s="129" t="str">
        <f>R68</f>
        <v>4x150</v>
      </c>
      <c r="S69" s="129" t="str">
        <f t="shared" ref="S69:S77" si="4">IF(K69&lt;=N69,"OK!","!!!!!!!!!")</f>
        <v>OK!</v>
      </c>
      <c r="T69" s="129" t="str">
        <f t="shared" ref="T69:T77" si="5">IF(N69&lt;=Q69*J69,"OK!","!!!!!!!!!")</f>
        <v>OK!</v>
      </c>
      <c r="U69" s="129" t="str">
        <f t="shared" ref="U69:U77" si="6">IF(N69*$K$42&lt;=Q69*J69*1.45,"OK!","!!!!!!!!!")</f>
        <v>OK!</v>
      </c>
      <c r="W69" s="138">
        <v>1</v>
      </c>
      <c r="X69" s="138">
        <v>1</v>
      </c>
    </row>
    <row r="70" spans="2:24" ht="30">
      <c r="B70" s="127" t="s">
        <v>341</v>
      </c>
      <c r="C70" s="128" t="s">
        <v>342</v>
      </c>
      <c r="D70" s="129" t="s">
        <v>264</v>
      </c>
      <c r="E70" s="129">
        <v>1</v>
      </c>
      <c r="F70" s="129">
        <v>1</v>
      </c>
      <c r="G70" s="129">
        <v>1</v>
      </c>
      <c r="H70" s="129">
        <v>1</v>
      </c>
      <c r="I70" s="129">
        <v>1</v>
      </c>
      <c r="J70" s="130">
        <f t="shared" si="0"/>
        <v>1</v>
      </c>
      <c r="K70" s="216">
        <f>bal_pot!M13</f>
        <v>93.947476651678912</v>
      </c>
      <c r="L70" s="131">
        <v>100</v>
      </c>
      <c r="M70" s="132">
        <v>1</v>
      </c>
      <c r="N70" s="133">
        <f t="shared" si="3"/>
        <v>100</v>
      </c>
      <c r="O70" s="134">
        <f t="shared" ref="O70:O77" si="7">N70/J70</f>
        <v>100</v>
      </c>
      <c r="P70" s="135" t="s">
        <v>343</v>
      </c>
      <c r="Q70" s="136">
        <v>117</v>
      </c>
      <c r="R70" s="129">
        <v>25</v>
      </c>
      <c r="S70" s="129" t="str">
        <f t="shared" si="4"/>
        <v>OK!</v>
      </c>
      <c r="T70" s="129" t="str">
        <f t="shared" si="5"/>
        <v>OK!</v>
      </c>
      <c r="U70" s="129" t="str">
        <f t="shared" si="6"/>
        <v>OK!</v>
      </c>
      <c r="W70" s="138">
        <v>0.9</v>
      </c>
      <c r="X70" s="138">
        <v>0.98</v>
      </c>
    </row>
    <row r="71" spans="2:24" ht="30">
      <c r="B71" s="127" t="s">
        <v>343</v>
      </c>
      <c r="C71" s="128" t="s">
        <v>344</v>
      </c>
      <c r="D71" s="129" t="s">
        <v>276</v>
      </c>
      <c r="E71" s="129">
        <v>1</v>
      </c>
      <c r="F71" s="129">
        <v>1</v>
      </c>
      <c r="G71" s="129">
        <v>1</v>
      </c>
      <c r="H71" s="129">
        <v>1</v>
      </c>
      <c r="I71" s="129">
        <v>1</v>
      </c>
      <c r="J71" s="130">
        <f t="shared" si="0"/>
        <v>1</v>
      </c>
      <c r="K71" s="216">
        <f>bal_pot!L29</f>
        <v>131.70616786125564</v>
      </c>
      <c r="L71" s="131">
        <v>160</v>
      </c>
      <c r="M71" s="132">
        <v>0.9</v>
      </c>
      <c r="N71" s="133">
        <f t="shared" si="3"/>
        <v>144</v>
      </c>
      <c r="O71" s="134">
        <f t="shared" si="7"/>
        <v>144</v>
      </c>
      <c r="P71" s="135" t="s">
        <v>336</v>
      </c>
      <c r="Q71" s="136">
        <f>158</f>
        <v>158</v>
      </c>
      <c r="R71" s="129">
        <v>35</v>
      </c>
      <c r="S71" s="129" t="str">
        <f t="shared" si="4"/>
        <v>OK!</v>
      </c>
      <c r="T71" s="129" t="str">
        <f t="shared" si="5"/>
        <v>OK!</v>
      </c>
      <c r="U71" s="129" t="str">
        <f t="shared" si="6"/>
        <v>OK!</v>
      </c>
      <c r="W71" s="138">
        <v>0.8</v>
      </c>
      <c r="X71" s="138">
        <v>0.95</v>
      </c>
    </row>
    <row r="72" spans="2:24" ht="30">
      <c r="B72" s="127" t="s">
        <v>345</v>
      </c>
      <c r="C72" s="128" t="s">
        <v>346</v>
      </c>
      <c r="D72" s="129" t="s">
        <v>111</v>
      </c>
      <c r="E72" s="129">
        <v>1</v>
      </c>
      <c r="F72" s="129">
        <v>0.96</v>
      </c>
      <c r="G72" s="129">
        <v>1</v>
      </c>
      <c r="H72" s="129">
        <v>1</v>
      </c>
      <c r="I72" s="129">
        <v>1.1299999999999999</v>
      </c>
      <c r="J72" s="130">
        <f t="shared" si="0"/>
        <v>1.0847999999999998</v>
      </c>
      <c r="K72" s="216">
        <f>bal_pot!L34</f>
        <v>108.19907593508728</v>
      </c>
      <c r="L72" s="131">
        <v>125</v>
      </c>
      <c r="M72" s="132">
        <v>0.9</v>
      </c>
      <c r="N72" s="133">
        <f t="shared" si="3"/>
        <v>112.5</v>
      </c>
      <c r="O72" s="134">
        <f t="shared" si="7"/>
        <v>103.7057522123894</v>
      </c>
      <c r="P72" s="135" t="s">
        <v>347</v>
      </c>
      <c r="Q72" s="136">
        <f>113</f>
        <v>113</v>
      </c>
      <c r="R72" s="129">
        <v>16</v>
      </c>
      <c r="S72" s="129" t="str">
        <f t="shared" si="4"/>
        <v>OK!</v>
      </c>
      <c r="T72" s="129" t="str">
        <f t="shared" si="5"/>
        <v>OK!</v>
      </c>
      <c r="U72" s="129" t="str">
        <f t="shared" si="6"/>
        <v>OK!</v>
      </c>
      <c r="W72" s="138">
        <v>0.7</v>
      </c>
      <c r="X72" s="138">
        <v>0.93</v>
      </c>
    </row>
    <row r="73" spans="2:24" ht="45">
      <c r="B73" s="127" t="s">
        <v>348</v>
      </c>
      <c r="C73" s="128" t="s">
        <v>349</v>
      </c>
      <c r="D73" s="129" t="s">
        <v>280</v>
      </c>
      <c r="E73" s="129">
        <v>0.91</v>
      </c>
      <c r="F73" s="129">
        <v>1</v>
      </c>
      <c r="G73" s="129">
        <v>0.82</v>
      </c>
      <c r="H73" s="129">
        <v>1</v>
      </c>
      <c r="I73" s="129">
        <v>1</v>
      </c>
      <c r="J73" s="130">
        <f t="shared" si="0"/>
        <v>0.74619999999999997</v>
      </c>
      <c r="K73" s="216">
        <f>bal_pot!L39</f>
        <v>170.72185379263124</v>
      </c>
      <c r="L73" s="131">
        <v>200</v>
      </c>
      <c r="M73" s="132">
        <f>0.9*0.95</f>
        <v>0.85499999999999998</v>
      </c>
      <c r="N73" s="133">
        <f t="shared" si="3"/>
        <v>171</v>
      </c>
      <c r="O73" s="134">
        <f t="shared" si="7"/>
        <v>229.16108281961942</v>
      </c>
      <c r="P73" s="135" t="s">
        <v>336</v>
      </c>
      <c r="Q73" s="136">
        <v>279</v>
      </c>
      <c r="R73" s="129">
        <v>70</v>
      </c>
      <c r="S73" s="129" t="str">
        <f t="shared" si="4"/>
        <v>OK!</v>
      </c>
      <c r="T73" s="129" t="str">
        <f t="shared" si="5"/>
        <v>OK!</v>
      </c>
      <c r="U73" s="129" t="str">
        <f t="shared" si="6"/>
        <v>OK!</v>
      </c>
      <c r="W73" s="138">
        <v>0.63</v>
      </c>
      <c r="X73" s="138">
        <v>0.9</v>
      </c>
    </row>
    <row r="74" spans="2:24" ht="31.5" customHeight="1">
      <c r="B74" s="127" t="s">
        <v>350</v>
      </c>
      <c r="C74" s="128" t="s">
        <v>351</v>
      </c>
      <c r="D74" s="129" t="s">
        <v>280</v>
      </c>
      <c r="E74" s="129">
        <v>0.87</v>
      </c>
      <c r="F74" s="129">
        <v>1</v>
      </c>
      <c r="G74" s="129">
        <v>0.88</v>
      </c>
      <c r="H74" s="129">
        <v>1</v>
      </c>
      <c r="I74" s="129">
        <v>1</v>
      </c>
      <c r="J74" s="130">
        <f t="shared" si="0"/>
        <v>0.76559999999999995</v>
      </c>
      <c r="K74" s="216">
        <f>bal_pot!L43</f>
        <v>392.59818304894549</v>
      </c>
      <c r="L74" s="131">
        <v>400</v>
      </c>
      <c r="M74" s="132">
        <v>1</v>
      </c>
      <c r="N74" s="133">
        <f t="shared" si="3"/>
        <v>400</v>
      </c>
      <c r="O74" s="134">
        <f t="shared" si="7"/>
        <v>522.4660397074191</v>
      </c>
      <c r="P74" s="135" t="s">
        <v>352</v>
      </c>
      <c r="Q74" s="136">
        <f>2*274</f>
        <v>548</v>
      </c>
      <c r="R74" s="129" t="s">
        <v>353</v>
      </c>
      <c r="S74" s="129" t="str">
        <f t="shared" si="4"/>
        <v>OK!</v>
      </c>
      <c r="T74" s="129" t="str">
        <f t="shared" si="5"/>
        <v>OK!</v>
      </c>
      <c r="U74" s="129" t="str">
        <f t="shared" si="6"/>
        <v>OK!</v>
      </c>
      <c r="W74" s="138">
        <v>0.5</v>
      </c>
      <c r="X74" s="138">
        <v>0.88</v>
      </c>
    </row>
    <row r="75" spans="2:24">
      <c r="B75" s="127" t="s">
        <v>354</v>
      </c>
      <c r="C75" s="221" t="s">
        <v>355</v>
      </c>
      <c r="D75" s="129" t="s">
        <v>276</v>
      </c>
      <c r="E75" s="129">
        <v>1</v>
      </c>
      <c r="F75" s="129">
        <v>1</v>
      </c>
      <c r="G75" s="129">
        <v>0.82</v>
      </c>
      <c r="H75" s="129">
        <v>1</v>
      </c>
      <c r="I75" s="129">
        <v>1</v>
      </c>
      <c r="J75" s="130">
        <f t="shared" si="0"/>
        <v>0.82</v>
      </c>
      <c r="K75" s="216">
        <f>bal_pot!K26</f>
        <v>21.220438923703163</v>
      </c>
      <c r="L75" s="131">
        <v>25</v>
      </c>
      <c r="M75" s="132">
        <v>1</v>
      </c>
      <c r="N75" s="133">
        <f t="shared" si="3"/>
        <v>25</v>
      </c>
      <c r="O75" s="134">
        <f t="shared" si="7"/>
        <v>30.487804878048781</v>
      </c>
      <c r="P75" s="135" t="s">
        <v>356</v>
      </c>
      <c r="Q75" s="136">
        <v>34</v>
      </c>
      <c r="R75" s="129">
        <v>4</v>
      </c>
      <c r="S75" s="129" t="str">
        <f t="shared" si="4"/>
        <v>OK!</v>
      </c>
      <c r="T75" s="129" t="str">
        <f t="shared" si="5"/>
        <v>OK!</v>
      </c>
      <c r="U75" s="129" t="str">
        <f t="shared" si="6"/>
        <v>OK!</v>
      </c>
      <c r="W75" s="138"/>
      <c r="X75" s="138">
        <v>0.85</v>
      </c>
    </row>
    <row r="76" spans="2:24">
      <c r="B76" s="127" t="s">
        <v>357</v>
      </c>
      <c r="C76" s="221"/>
      <c r="D76" s="129" t="str">
        <f>D75</f>
        <v>E</v>
      </c>
      <c r="E76" s="129">
        <f>E75</f>
        <v>1</v>
      </c>
      <c r="F76" s="129">
        <f t="shared" ref="F76:I76" si="8">F75</f>
        <v>1</v>
      </c>
      <c r="G76" s="129">
        <f t="shared" si="8"/>
        <v>0.82</v>
      </c>
      <c r="H76" s="129">
        <f t="shared" si="8"/>
        <v>1</v>
      </c>
      <c r="I76" s="129">
        <f t="shared" si="8"/>
        <v>1</v>
      </c>
      <c r="J76" s="130">
        <f t="shared" si="0"/>
        <v>0.82</v>
      </c>
      <c r="K76" s="216">
        <f>bal_pot!K27</f>
        <v>41.487150255329773</v>
      </c>
      <c r="L76" s="131">
        <v>50</v>
      </c>
      <c r="M76" s="132">
        <v>0.9</v>
      </c>
      <c r="N76" s="133">
        <f t="shared" si="3"/>
        <v>45</v>
      </c>
      <c r="O76" s="134">
        <f t="shared" si="7"/>
        <v>54.878048780487809</v>
      </c>
      <c r="P76" s="135" t="s">
        <v>356</v>
      </c>
      <c r="Q76" s="136">
        <f>60</f>
        <v>60</v>
      </c>
      <c r="R76" s="129">
        <v>10</v>
      </c>
      <c r="S76" s="129" t="str">
        <f t="shared" si="4"/>
        <v>OK!</v>
      </c>
      <c r="T76" s="129" t="str">
        <f t="shared" si="5"/>
        <v>OK!</v>
      </c>
      <c r="U76" s="129" t="str">
        <f t="shared" si="6"/>
        <v>OK!</v>
      </c>
      <c r="W76" s="138"/>
      <c r="X76" s="138">
        <v>0.8</v>
      </c>
    </row>
    <row r="77" spans="2:24">
      <c r="B77" s="127" t="s">
        <v>358</v>
      </c>
      <c r="C77" s="221"/>
      <c r="D77" s="129" t="str">
        <f>D75</f>
        <v>E</v>
      </c>
      <c r="E77" s="129">
        <f>E75</f>
        <v>1</v>
      </c>
      <c r="F77" s="129">
        <f t="shared" ref="F77:I77" si="9">F75</f>
        <v>1</v>
      </c>
      <c r="G77" s="129">
        <f t="shared" si="9"/>
        <v>0.82</v>
      </c>
      <c r="H77" s="129">
        <f t="shared" si="9"/>
        <v>1</v>
      </c>
      <c r="I77" s="129">
        <f t="shared" si="9"/>
        <v>1</v>
      </c>
      <c r="J77" s="130">
        <f t="shared" si="0"/>
        <v>0.82</v>
      </c>
      <c r="K77" s="216">
        <f>bal_pot!K28</f>
        <v>68.9985786822227</v>
      </c>
      <c r="L77" s="131">
        <v>80</v>
      </c>
      <c r="M77" s="132">
        <v>0.9</v>
      </c>
      <c r="N77" s="133">
        <f t="shared" si="3"/>
        <v>72</v>
      </c>
      <c r="O77" s="134">
        <f t="shared" si="7"/>
        <v>87.804878048780495</v>
      </c>
      <c r="P77" s="135" t="s">
        <v>356</v>
      </c>
      <c r="Q77" s="136">
        <v>101</v>
      </c>
      <c r="R77" s="129">
        <v>25</v>
      </c>
      <c r="S77" s="129" t="str">
        <f t="shared" si="4"/>
        <v>OK!</v>
      </c>
      <c r="T77" s="129" t="str">
        <f t="shared" si="5"/>
        <v>OK!</v>
      </c>
      <c r="U77" s="129" t="str">
        <f t="shared" si="6"/>
        <v>OK!</v>
      </c>
    </row>
    <row r="82" spans="2:15" ht="15.75">
      <c r="B82" s="96" t="s">
        <v>359</v>
      </c>
    </row>
    <row r="84" spans="2:15">
      <c r="C84" s="139" t="s">
        <v>131</v>
      </c>
      <c r="D84" s="140"/>
      <c r="E84" s="141"/>
      <c r="F84" s="98" t="s">
        <v>334</v>
      </c>
      <c r="G84" s="98" t="s">
        <v>340</v>
      </c>
      <c r="H84" s="98" t="s">
        <v>341</v>
      </c>
      <c r="I84" s="98" t="s">
        <v>343</v>
      </c>
      <c r="J84" s="98" t="s">
        <v>345</v>
      </c>
      <c r="K84" s="98" t="s">
        <v>348</v>
      </c>
      <c r="L84" s="98" t="s">
        <v>350</v>
      </c>
      <c r="M84" s="142" t="s">
        <v>354</v>
      </c>
      <c r="N84" s="142" t="s">
        <v>357</v>
      </c>
      <c r="O84" s="142" t="s">
        <v>358</v>
      </c>
    </row>
    <row r="85" spans="2:15">
      <c r="C85" s="31" t="s">
        <v>237</v>
      </c>
      <c r="D85" s="104" t="s">
        <v>16</v>
      </c>
      <c r="E85" s="104" t="s">
        <v>11</v>
      </c>
      <c r="F85" s="31">
        <v>230</v>
      </c>
      <c r="G85" s="31">
        <v>230</v>
      </c>
      <c r="H85" s="31">
        <v>230</v>
      </c>
      <c r="I85" s="31">
        <v>230</v>
      </c>
      <c r="J85" s="31">
        <v>230</v>
      </c>
      <c r="K85" s="31">
        <v>230</v>
      </c>
      <c r="L85" s="31">
        <v>230</v>
      </c>
      <c r="M85" s="31">
        <v>230</v>
      </c>
      <c r="N85" s="31">
        <v>230</v>
      </c>
      <c r="O85" s="31">
        <v>230</v>
      </c>
    </row>
    <row r="86" spans="2:15">
      <c r="C86" s="31" t="s">
        <v>239</v>
      </c>
      <c r="D86" s="104" t="s">
        <v>236</v>
      </c>
      <c r="E86" s="104" t="s">
        <v>240</v>
      </c>
      <c r="F86" s="31">
        <v>1</v>
      </c>
      <c r="G86" s="31">
        <v>1</v>
      </c>
      <c r="H86" s="31">
        <v>2</v>
      </c>
      <c r="I86" s="31">
        <v>1</v>
      </c>
      <c r="J86" s="31">
        <v>1</v>
      </c>
      <c r="K86" s="31">
        <v>1</v>
      </c>
      <c r="L86" s="31">
        <v>1</v>
      </c>
      <c r="M86" s="31">
        <v>1</v>
      </c>
      <c r="N86" s="31">
        <v>1</v>
      </c>
      <c r="O86" s="31">
        <v>1</v>
      </c>
    </row>
    <row r="87" spans="2:15">
      <c r="C87" s="31" t="s">
        <v>242</v>
      </c>
      <c r="D87" s="106" t="s">
        <v>243</v>
      </c>
      <c r="E87" s="107" t="s">
        <v>244</v>
      </c>
      <c r="F87" s="31">
        <v>2.2499999999999999E-2</v>
      </c>
      <c r="G87" s="31">
        <v>2.2499999999999999E-2</v>
      </c>
      <c r="H87" s="31">
        <v>2.2499999999999999E-2</v>
      </c>
      <c r="I87" s="31">
        <v>2.2499999999999999E-2</v>
      </c>
      <c r="J87" s="31">
        <v>2.2499999999999999E-2</v>
      </c>
      <c r="K87" s="31">
        <v>2.2499999999999999E-2</v>
      </c>
      <c r="L87" s="31">
        <v>3.5999999999999997E-2</v>
      </c>
      <c r="M87" s="31">
        <v>2.2499999999999999E-2</v>
      </c>
      <c r="N87" s="31">
        <v>2.2499999999999999E-2</v>
      </c>
      <c r="O87" s="31">
        <v>2.2499999999999999E-2</v>
      </c>
    </row>
    <row r="88" spans="2:15">
      <c r="C88" s="31" t="s">
        <v>49</v>
      </c>
      <c r="D88" s="104" t="s">
        <v>245</v>
      </c>
      <c r="E88" s="107" t="s">
        <v>50</v>
      </c>
      <c r="F88" s="31">
        <v>10</v>
      </c>
      <c r="G88" s="31">
        <f>F88</f>
        <v>10</v>
      </c>
      <c r="H88" s="31">
        <v>10</v>
      </c>
      <c r="I88" s="31">
        <v>320</v>
      </c>
      <c r="J88" s="31">
        <v>75</v>
      </c>
      <c r="K88" s="31">
        <v>72</v>
      </c>
      <c r="L88" s="31">
        <v>25</v>
      </c>
      <c r="M88" s="31">
        <v>15</v>
      </c>
      <c r="N88" s="31">
        <v>20</v>
      </c>
      <c r="O88" s="31">
        <v>20</v>
      </c>
    </row>
    <row r="89" spans="2:15">
      <c r="C89" s="31" t="s">
        <v>246</v>
      </c>
      <c r="D89" s="104" t="s">
        <v>247</v>
      </c>
      <c r="E89" s="104" t="s">
        <v>99</v>
      </c>
      <c r="F89" s="31">
        <f>4*150</f>
        <v>600</v>
      </c>
      <c r="G89" s="31">
        <f>F89</f>
        <v>600</v>
      </c>
      <c r="H89" s="31">
        <f>R70</f>
        <v>25</v>
      </c>
      <c r="I89" s="31">
        <f>R71</f>
        <v>35</v>
      </c>
      <c r="J89" s="31">
        <f>R72</f>
        <v>16</v>
      </c>
      <c r="K89" s="31">
        <f>R73</f>
        <v>70</v>
      </c>
      <c r="L89" s="31">
        <f>2*150</f>
        <v>300</v>
      </c>
      <c r="M89" s="31">
        <f>R75</f>
        <v>4</v>
      </c>
      <c r="N89" s="31">
        <f>R76</f>
        <v>10</v>
      </c>
      <c r="O89" s="31">
        <f>R77</f>
        <v>25</v>
      </c>
    </row>
    <row r="90" spans="2:15">
      <c r="C90" s="31" t="s">
        <v>54</v>
      </c>
      <c r="D90" s="104" t="s">
        <v>2</v>
      </c>
      <c r="E90" s="104" t="s">
        <v>3</v>
      </c>
      <c r="F90" s="111">
        <f>bal_pot!O53</f>
        <v>0.87302527114999862</v>
      </c>
      <c r="G90" s="111">
        <f>F90</f>
        <v>0.87302527114999862</v>
      </c>
      <c r="H90" s="111">
        <f>bal_pot!N13</f>
        <v>0.96919675003876815</v>
      </c>
      <c r="I90" s="111">
        <f>bal_pot!M29</f>
        <v>0.86</v>
      </c>
      <c r="J90" s="111">
        <f>bal_pot!M34</f>
        <v>0.87</v>
      </c>
      <c r="K90" s="111">
        <f>bal_pot!M39</f>
        <v>1</v>
      </c>
      <c r="L90" s="111">
        <f>bal_pot!M43</f>
        <v>0.8</v>
      </c>
      <c r="M90" s="111">
        <f>bal_pot!F26</f>
        <v>0.86</v>
      </c>
      <c r="N90" s="111">
        <f>bal_pot!F27</f>
        <v>0.86</v>
      </c>
      <c r="O90" s="111">
        <f>bal_pot!F28</f>
        <v>0.86</v>
      </c>
    </row>
    <row r="91" spans="2:15">
      <c r="C91" s="31" t="s">
        <v>248</v>
      </c>
      <c r="D91" s="106" t="s">
        <v>249</v>
      </c>
      <c r="E91" s="104" t="s">
        <v>250</v>
      </c>
      <c r="F91" s="31">
        <v>0.08</v>
      </c>
      <c r="G91" s="31">
        <v>0.08</v>
      </c>
      <c r="H91" s="31">
        <v>0.08</v>
      </c>
      <c r="I91" s="31">
        <v>0.08</v>
      </c>
      <c r="J91" s="31">
        <v>0.08</v>
      </c>
      <c r="K91" s="143">
        <v>0.09</v>
      </c>
      <c r="L91" s="31">
        <v>0.08</v>
      </c>
      <c r="M91" s="31">
        <v>0.08</v>
      </c>
      <c r="N91" s="31">
        <v>0.08</v>
      </c>
      <c r="O91" s="31">
        <v>0.08</v>
      </c>
    </row>
    <row r="92" spans="2:15">
      <c r="C92" s="31" t="s">
        <v>107</v>
      </c>
      <c r="D92" s="104" t="s">
        <v>22</v>
      </c>
      <c r="E92" s="104" t="s">
        <v>9</v>
      </c>
      <c r="F92" s="35">
        <f>K68</f>
        <v>1281.6753675565692</v>
      </c>
      <c r="G92" s="35">
        <f>K69</f>
        <v>1281.6753675565692</v>
      </c>
      <c r="H92" s="35">
        <f>K70</f>
        <v>93.947476651678912</v>
      </c>
      <c r="I92" s="35">
        <f>K71</f>
        <v>131.70616786125564</v>
      </c>
      <c r="J92" s="35">
        <f>K72</f>
        <v>108.19907593508728</v>
      </c>
      <c r="K92" s="35">
        <f>K73</f>
        <v>170.72185379263124</v>
      </c>
      <c r="L92" s="35">
        <f>K74</f>
        <v>392.59818304894549</v>
      </c>
      <c r="M92" s="35">
        <f>K75</f>
        <v>21.220438923703163</v>
      </c>
      <c r="N92" s="35">
        <f>K76</f>
        <v>41.487150255329773</v>
      </c>
      <c r="O92" s="35">
        <f>K77</f>
        <v>68.9985786822227</v>
      </c>
    </row>
    <row r="93" spans="2:15">
      <c r="C93" s="31" t="s">
        <v>360</v>
      </c>
      <c r="D93" s="104" t="s">
        <v>361</v>
      </c>
      <c r="E93" s="104" t="s">
        <v>1</v>
      </c>
      <c r="F93" s="144">
        <v>0.08</v>
      </c>
      <c r="G93" s="144">
        <v>0.08</v>
      </c>
      <c r="H93" s="144">
        <v>0.06</v>
      </c>
      <c r="I93" s="144">
        <v>0.08</v>
      </c>
      <c r="J93" s="144">
        <v>0.08</v>
      </c>
      <c r="K93" s="144">
        <v>0.08</v>
      </c>
      <c r="L93" s="144">
        <v>0.08</v>
      </c>
      <c r="M93" s="144">
        <v>0.08</v>
      </c>
      <c r="N93" s="144">
        <v>0.08</v>
      </c>
      <c r="O93" s="144">
        <v>0.08</v>
      </c>
    </row>
    <row r="94" spans="2:15">
      <c r="C94" s="97" t="s">
        <v>362</v>
      </c>
      <c r="D94" s="98" t="s">
        <v>234</v>
      </c>
      <c r="E94" s="98" t="s">
        <v>11</v>
      </c>
      <c r="F94" s="145">
        <f>F$86*(F$87*F$88/F$89*F$90+F$91/1000*F$88*SIN(ACOS(F$90)))*F$92</f>
        <v>0.91963341616794514</v>
      </c>
      <c r="G94" s="145">
        <f t="shared" ref="G94" si="10">G$86*(G$87*G$88/G$89*G$90+G$91/1000*G$88*SIN(ACOS(G$90)))*G$92</f>
        <v>0.91963341616794514</v>
      </c>
      <c r="H94" s="145">
        <f>H$86*(H$87*H$88/H$89*H$90+H$91/1000*H$88*SIN(ACOS(H$90)))*H$92+$F$94</f>
        <v>2.5956190004034791</v>
      </c>
      <c r="I94" s="145">
        <f t="shared" ref="I94:L94" si="11">I$86*(I$87*I$88/I$89*I$90+I$91/1000*I$88*SIN(ACOS(I$90)))*I$92+$F$94</f>
        <v>25.940883139290253</v>
      </c>
      <c r="J94" s="145">
        <f t="shared" si="11"/>
        <v>11.167830382371179</v>
      </c>
      <c r="K94" s="145">
        <f t="shared" si="11"/>
        <v>4.8706248896545539</v>
      </c>
      <c r="L94" s="145">
        <f t="shared" si="11"/>
        <v>2.3329868751441487</v>
      </c>
      <c r="M94" s="145">
        <f>M$86*(M$87*M$88/M$89*M$90+M$91/1000*M$88*SIN(ACOS(M$90)))*M$92+$F$94+$I$94</f>
        <v>28.413319050889019</v>
      </c>
      <c r="N94" s="145">
        <f t="shared" ref="N94:O94" si="12">N$86*(N$87*N$88/N$89*N$90+N$91/1000*N$88*SIN(ACOS(N$90)))*N$92+$F$94+$I$94</f>
        <v>28.499942302686307</v>
      </c>
      <c r="O94" s="145">
        <f t="shared" si="12"/>
        <v>27.984949854225754</v>
      </c>
    </row>
    <row r="95" spans="2:15">
      <c r="C95" s="97" t="s">
        <v>362</v>
      </c>
      <c r="D95" s="98" t="s">
        <v>235</v>
      </c>
      <c r="E95" s="98" t="s">
        <v>1</v>
      </c>
      <c r="F95" s="100">
        <f>F$94/F$85</f>
        <v>3.9984061572519358E-3</v>
      </c>
      <c r="G95" s="100">
        <f t="shared" ref="G95:O95" si="13">G$94/G$85</f>
        <v>3.9984061572519358E-3</v>
      </c>
      <c r="H95" s="100">
        <f t="shared" si="13"/>
        <v>1.1285300001754256E-2</v>
      </c>
      <c r="I95" s="100">
        <f t="shared" si="13"/>
        <v>0.11278644843169676</v>
      </c>
      <c r="J95" s="100">
        <f t="shared" si="13"/>
        <v>4.8555784271179035E-2</v>
      </c>
      <c r="K95" s="100">
        <f t="shared" si="13"/>
        <v>2.1176629955019798E-2</v>
      </c>
      <c r="L95" s="100">
        <f t="shared" si="13"/>
        <v>1.0143421196278908E-2</v>
      </c>
      <c r="M95" s="100">
        <f t="shared" si="13"/>
        <v>0.123536169786474</v>
      </c>
      <c r="N95" s="100">
        <f t="shared" si="13"/>
        <v>0.12391279262037525</v>
      </c>
      <c r="O95" s="100">
        <f t="shared" si="13"/>
        <v>0.12167369501837284</v>
      </c>
    </row>
    <row r="96" spans="2:15">
      <c r="C96" s="146" t="s">
        <v>363</v>
      </c>
      <c r="D96" s="104" t="s">
        <v>247</v>
      </c>
      <c r="E96" s="104" t="s">
        <v>99</v>
      </c>
      <c r="F96" s="31">
        <f>F89</f>
        <v>600</v>
      </c>
      <c r="G96" s="31">
        <f t="shared" ref="G96:O96" si="14">G89</f>
        <v>600</v>
      </c>
      <c r="H96" s="143">
        <v>25</v>
      </c>
      <c r="I96" s="147">
        <v>70</v>
      </c>
      <c r="J96" s="143">
        <v>16</v>
      </c>
      <c r="K96" s="31">
        <f t="shared" si="14"/>
        <v>70</v>
      </c>
      <c r="L96" s="31">
        <f t="shared" si="14"/>
        <v>300</v>
      </c>
      <c r="M96" s="147">
        <v>6</v>
      </c>
      <c r="N96" s="147">
        <v>16</v>
      </c>
      <c r="O96" s="31">
        <f t="shared" si="14"/>
        <v>25</v>
      </c>
    </row>
    <row r="97" spans="3:15">
      <c r="C97" s="97" t="s">
        <v>364</v>
      </c>
      <c r="D97" s="98" t="s">
        <v>234</v>
      </c>
      <c r="E97" s="98" t="s">
        <v>11</v>
      </c>
      <c r="F97" s="145">
        <f>F$86*(F$87*F$88/F$96*F$90+F$91/1000*F$88*SIN(ACOS(F$90)))*F$92</f>
        <v>0.91963341616794514</v>
      </c>
      <c r="G97" s="145">
        <f>G$86*(G$87*G$88/G$96*G$90+G$91/1000*G$88*SIN(ACOS(G$90)))*G$92</f>
        <v>0.91963341616794514</v>
      </c>
      <c r="H97" s="145">
        <f>H$86*(H$87*H$88/H$96*H$90+H$91/1000*H$88*SIN(ACOS(H$90)))*H$92+$F$97</f>
        <v>2.5956190004034791</v>
      </c>
      <c r="I97" s="145">
        <f t="shared" ref="I97:L97" si="15">I$86*(I$87*I$88/I$96*I$90+I$91/1000*I$88*SIN(ACOS(I$90)))*I$92+$F$97</f>
        <v>14.290531833620326</v>
      </c>
      <c r="J97" s="145">
        <f t="shared" si="15"/>
        <v>11.167830382371179</v>
      </c>
      <c r="K97" s="145">
        <f t="shared" si="15"/>
        <v>4.8706248896545539</v>
      </c>
      <c r="L97" s="145">
        <f t="shared" si="15"/>
        <v>2.3329868751441487</v>
      </c>
      <c r="M97" s="145">
        <f>M$86*(M$87*M$88/M$96*M$90+M$91/1000*M$88*SIN(ACOS(M$90)))*M$92+$F$97+$I$97</f>
        <v>16.249698378752022</v>
      </c>
      <c r="N97" s="145">
        <f t="shared" ref="N97:O97" si="16">N$86*(N$87*N$88/N$96*N$90+N$91/1000*N$88*SIN(ACOS(N$90)))*N$92+$F$97+$I$97</f>
        <v>16.247508728935905</v>
      </c>
      <c r="O97" s="145">
        <f t="shared" si="16"/>
        <v>16.334598548555824</v>
      </c>
    </row>
    <row r="98" spans="3:15">
      <c r="C98" s="97" t="s">
        <v>364</v>
      </c>
      <c r="D98" s="98" t="s">
        <v>235</v>
      </c>
      <c r="E98" s="98" t="s">
        <v>1</v>
      </c>
      <c r="F98" s="100">
        <f>F$97/F$85</f>
        <v>3.9984061572519358E-3</v>
      </c>
      <c r="G98" s="100">
        <f t="shared" ref="G98:O98" si="17">G$97/G$85</f>
        <v>3.9984061572519358E-3</v>
      </c>
      <c r="H98" s="100">
        <f t="shared" si="17"/>
        <v>1.1285300001754256E-2</v>
      </c>
      <c r="I98" s="100">
        <f t="shared" si="17"/>
        <v>6.2132747102697068E-2</v>
      </c>
      <c r="J98" s="100">
        <f t="shared" si="17"/>
        <v>4.8555784271179035E-2</v>
      </c>
      <c r="K98" s="100">
        <f t="shared" si="17"/>
        <v>2.1176629955019798E-2</v>
      </c>
      <c r="L98" s="100">
        <f t="shared" si="17"/>
        <v>1.0143421196278908E-2</v>
      </c>
      <c r="M98" s="100">
        <f t="shared" si="17"/>
        <v>7.065086251631314E-2</v>
      </c>
      <c r="N98" s="100">
        <f t="shared" si="17"/>
        <v>7.0641342299721327E-2</v>
      </c>
      <c r="O98" s="100">
        <f t="shared" si="17"/>
        <v>7.1019993689373145E-2</v>
      </c>
    </row>
  </sheetData>
  <mergeCells count="1">
    <mergeCell ref="C75:C77"/>
  </mergeCells>
  <dataValidations count="9">
    <dataValidation type="list" allowBlank="1" showInputMessage="1" showErrorMessage="1" sqref="F33 D68:D77">
      <formula1>$M$31:$M$39</formula1>
    </dataValidation>
    <dataValidation type="list" allowBlank="1" showInputMessage="1" showErrorMessage="1" sqref="F45 L68:L77">
      <formula1>$O$31:$O$63</formula1>
    </dataValidation>
    <dataValidation type="list" allowBlank="1" showInputMessage="1" showErrorMessage="1" sqref="F87:O87">
      <formula1>$M$14:$M$15</formula1>
    </dataValidation>
    <dataValidation type="list" allowBlank="1" showInputMessage="1" showErrorMessage="1" sqref="F86:O86">
      <formula1>$M$10:$M$11</formula1>
    </dataValidation>
    <dataValidation type="list" allowBlank="1" showInputMessage="1" showErrorMessage="1" sqref="F47">
      <formula1>K41:K45</formula1>
    </dataValidation>
    <dataValidation type="list" allowBlank="1" showInputMessage="1" showErrorMessage="1" sqref="F32">
      <formula1>K34:K35</formula1>
    </dataValidation>
    <dataValidation type="list" allowBlank="1" showInputMessage="1" showErrorMessage="1" sqref="F31">
      <formula1>K31:K32</formula1>
    </dataValidation>
    <dataValidation type="list" allowBlank="1" showInputMessage="1" showErrorMessage="1" sqref="F11">
      <formula1>M10:M11</formula1>
    </dataValidation>
    <dataValidation type="list" allowBlank="1" showInputMessage="1" showErrorMessage="1" sqref="F12">
      <formula1>M14:M15</formula1>
    </dataValidation>
  </dataValidations>
  <pageMargins left="0.7" right="0.7" top="0.75" bottom="0.75" header="0.3" footer="0.3"/>
  <pageSetup paperSize="9" orientation="portrait" r:id="rId1"/>
  <legacyDrawing r:id="rId2"/>
  <oleObjects>
    <oleObject progId="Equation.3" shapeId="11265" r:id="rId3"/>
  </oleObjects>
</worksheet>
</file>

<file path=xl/worksheets/sheet9.xml><?xml version="1.0" encoding="utf-8"?>
<worksheet xmlns="http://schemas.openxmlformats.org/spreadsheetml/2006/main" xmlns:r="http://schemas.openxmlformats.org/officeDocument/2006/relationships">
  <dimension ref="B2:N40"/>
  <sheetViews>
    <sheetView topLeftCell="A22" workbookViewId="0">
      <selection activeCell="L8" sqref="L8"/>
    </sheetView>
  </sheetViews>
  <sheetFormatPr defaultRowHeight="15"/>
  <cols>
    <col min="2" max="2" width="8.140625" customWidth="1"/>
    <col min="3" max="3" width="10.7109375" customWidth="1"/>
    <col min="4" max="4" width="7.85546875" customWidth="1"/>
    <col min="6" max="6" width="8.7109375" customWidth="1"/>
    <col min="7" max="7" width="16.28515625" bestFit="1" customWidth="1"/>
    <col min="8" max="8" width="15" style="1" bestFit="1" customWidth="1"/>
    <col min="9" max="9" width="13.42578125" style="1" bestFit="1" customWidth="1"/>
    <col min="10" max="10" width="20.140625" style="1" customWidth="1"/>
    <col min="11" max="12" width="11.7109375" style="1" customWidth="1"/>
    <col min="13" max="13" width="11.7109375" customWidth="1"/>
    <col min="14" max="14" width="9.140625" style="5"/>
  </cols>
  <sheetData>
    <row r="2" spans="6:14">
      <c r="H2" s="1" t="s">
        <v>365</v>
      </c>
    </row>
    <row r="4" spans="6:14">
      <c r="H4" s="1" t="s">
        <v>366</v>
      </c>
      <c r="I4" s="1" t="s">
        <v>367</v>
      </c>
      <c r="J4" s="1" t="s">
        <v>368</v>
      </c>
      <c r="K4" s="1" t="s">
        <v>369</v>
      </c>
      <c r="L4" s="1" t="s">
        <v>370</v>
      </c>
      <c r="M4" s="1" t="s">
        <v>371</v>
      </c>
      <c r="N4" s="6" t="s">
        <v>547</v>
      </c>
    </row>
    <row r="5" spans="6:14">
      <c r="H5" s="1" t="s">
        <v>372</v>
      </c>
      <c r="I5" s="1" t="s">
        <v>372</v>
      </c>
      <c r="J5" s="1" t="s">
        <v>372</v>
      </c>
      <c r="K5" s="1" t="s">
        <v>372</v>
      </c>
      <c r="L5" s="1" t="s">
        <v>372</v>
      </c>
      <c r="M5" s="1" t="s">
        <v>372</v>
      </c>
      <c r="N5" s="6" t="s">
        <v>127</v>
      </c>
    </row>
    <row r="7" spans="6:14">
      <c r="F7" s="101"/>
      <c r="G7" s="101"/>
      <c r="H7" s="102" t="s">
        <v>373</v>
      </c>
      <c r="I7" s="102" t="s">
        <v>374</v>
      </c>
      <c r="J7" s="102" t="s">
        <v>375</v>
      </c>
      <c r="K7" s="102"/>
      <c r="L7" s="102"/>
      <c r="M7" s="102"/>
    </row>
    <row r="8" spans="6:14">
      <c r="F8" s="101" t="s">
        <v>376</v>
      </c>
      <c r="G8" s="101" t="s">
        <v>377</v>
      </c>
      <c r="H8" s="148">
        <f>I8*0.1</f>
        <v>3.5103600000000006E-2</v>
      </c>
      <c r="I8" s="148">
        <f>J8*0.995</f>
        <v>0.35103600000000001</v>
      </c>
      <c r="J8" s="148">
        <f>(D29*D30)^2/(D28*10^6)*1000</f>
        <v>0.3528</v>
      </c>
      <c r="K8" s="148">
        <f>H8</f>
        <v>3.5103600000000006E-2</v>
      </c>
      <c r="L8" s="148">
        <f>I8</f>
        <v>0.35103600000000001</v>
      </c>
      <c r="M8" s="149">
        <f>J8</f>
        <v>0.3528</v>
      </c>
      <c r="N8" s="99">
        <f>$D$27*$D$29*$D$30/(SQRT(3)*M8)</f>
        <v>721.6878364870322</v>
      </c>
    </row>
    <row r="9" spans="6:14">
      <c r="N9" s="7"/>
    </row>
    <row r="10" spans="6:14" ht="31.5" customHeight="1">
      <c r="F10" s="150" t="s">
        <v>378</v>
      </c>
      <c r="G10" s="150" t="s">
        <v>379</v>
      </c>
      <c r="H10" s="151" t="s">
        <v>380</v>
      </c>
      <c r="I10" s="151" t="s">
        <v>381</v>
      </c>
      <c r="J10" s="152" t="s">
        <v>382</v>
      </c>
      <c r="K10" s="152"/>
      <c r="L10" s="152"/>
      <c r="M10" s="150"/>
      <c r="N10" s="7"/>
    </row>
    <row r="11" spans="6:14">
      <c r="F11" s="150"/>
      <c r="G11" s="150"/>
      <c r="H11" s="153">
        <f>0.31*J11</f>
        <v>4.1012999999999993</v>
      </c>
      <c r="I11" s="153">
        <f>0.95*J11</f>
        <v>12.568499999999998</v>
      </c>
      <c r="J11" s="154">
        <f>(D29*D30)^2*D32/D31/1000/100*1000</f>
        <v>13.229999999999999</v>
      </c>
      <c r="K11" s="155">
        <f t="shared" ref="K11:L11" si="0">H11+H8</f>
        <v>4.1364035999999995</v>
      </c>
      <c r="L11" s="155">
        <f t="shared" si="0"/>
        <v>12.919535999999999</v>
      </c>
      <c r="M11" s="155">
        <f>SQRT(K11^2+L11^2)</f>
        <v>13.565553626645281</v>
      </c>
      <c r="N11" s="99">
        <f>$D$27*$D$29*$D$30/(SQRT(3)*M11)</f>
        <v>18.76896997499022</v>
      </c>
    </row>
    <row r="12" spans="6:14">
      <c r="N12" s="7"/>
    </row>
    <row r="13" spans="6:14" ht="30">
      <c r="F13" s="101" t="s">
        <v>383</v>
      </c>
      <c r="G13" s="101" t="s">
        <v>384</v>
      </c>
      <c r="H13" s="101" t="s">
        <v>385</v>
      </c>
      <c r="I13" s="102" t="s">
        <v>386</v>
      </c>
      <c r="J13" s="156" t="s">
        <v>387</v>
      </c>
      <c r="K13" s="156"/>
      <c r="L13" s="156"/>
      <c r="M13" s="101"/>
      <c r="N13" s="7"/>
    </row>
    <row r="14" spans="6:14">
      <c r="F14" s="101"/>
      <c r="G14" s="101"/>
      <c r="H14" s="148">
        <f>D33*D35/D36*1000</f>
        <v>0.15624999999999997</v>
      </c>
      <c r="I14" s="148">
        <f>0.08*D35/3</f>
        <v>0.13333333333333333</v>
      </c>
      <c r="J14" s="148">
        <f>SQRT(H14^2+I14^2)</f>
        <v>0.20540652442845569</v>
      </c>
      <c r="K14" s="148">
        <f>K11+H14</f>
        <v>4.2926535999999995</v>
      </c>
      <c r="L14" s="148">
        <f>L11+I14</f>
        <v>13.052869333333332</v>
      </c>
      <c r="M14" s="149">
        <f>SQRT(K14^2+L14^2)</f>
        <v>13.740606710137174</v>
      </c>
      <c r="N14" s="99">
        <f>$D$27*$D$29*$D$30/(SQRT(3)*M14)</f>
        <v>18.529856365424141</v>
      </c>
    </row>
    <row r="15" spans="6:14">
      <c r="N15" s="7"/>
    </row>
    <row r="16" spans="6:14" ht="30">
      <c r="F16" s="150" t="s">
        <v>388</v>
      </c>
      <c r="G16" s="150" t="s">
        <v>389</v>
      </c>
      <c r="H16" s="151" t="s">
        <v>390</v>
      </c>
      <c r="I16" s="152" t="s">
        <v>391</v>
      </c>
      <c r="J16" s="152" t="s">
        <v>392</v>
      </c>
      <c r="K16" s="152"/>
      <c r="L16" s="152"/>
      <c r="M16" s="150"/>
      <c r="N16" s="7"/>
    </row>
    <row r="17" spans="2:14">
      <c r="F17" s="150"/>
      <c r="G17" s="150"/>
      <c r="H17" s="154">
        <v>0</v>
      </c>
      <c r="I17" s="154">
        <f>0.15</f>
        <v>0.15</v>
      </c>
      <c r="J17" s="154">
        <f>I17</f>
        <v>0.15</v>
      </c>
      <c r="K17" s="153">
        <f>K14+H17</f>
        <v>4.2926535999999995</v>
      </c>
      <c r="L17" s="153">
        <f>L14+I17</f>
        <v>13.202869333333332</v>
      </c>
      <c r="M17" s="155">
        <f>SQRT(K17^2+L17^2)</f>
        <v>13.883178078619704</v>
      </c>
      <c r="N17" s="99">
        <f>$D$27*$D$29*$D$30/(SQRT(3)*M17)</f>
        <v>18.339566579840273</v>
      </c>
    </row>
    <row r="18" spans="2:14">
      <c r="N18" s="7"/>
    </row>
    <row r="19" spans="2:14" ht="30">
      <c r="F19" s="101" t="s">
        <v>393</v>
      </c>
      <c r="G19" s="101" t="s">
        <v>394</v>
      </c>
      <c r="H19" s="101" t="s">
        <v>395</v>
      </c>
      <c r="I19" s="156" t="s">
        <v>396</v>
      </c>
      <c r="J19" s="156" t="s">
        <v>397</v>
      </c>
      <c r="K19" s="156"/>
      <c r="L19" s="156"/>
      <c r="M19" s="101"/>
      <c r="N19" s="7"/>
    </row>
    <row r="20" spans="2:14">
      <c r="F20" s="101"/>
      <c r="G20" s="101"/>
      <c r="H20" s="148">
        <f>D33*D37/D38*1000</f>
        <v>0.22499999999999998</v>
      </c>
      <c r="I20" s="148">
        <f>0.15*D37</f>
        <v>0.75</v>
      </c>
      <c r="J20" s="148">
        <f>SQRT(H20^2+I20^2)</f>
        <v>0.7830229881682913</v>
      </c>
      <c r="K20" s="148">
        <f>K17+H20</f>
        <v>4.5176535999999992</v>
      </c>
      <c r="L20" s="148">
        <f>L17+I20</f>
        <v>13.952869333333332</v>
      </c>
      <c r="M20" s="149">
        <f>SQRT(K20^2+L20^2)</f>
        <v>14.66600684176394</v>
      </c>
      <c r="N20" s="99">
        <f>$D$27*$D$29*$D$30/(SQRT(3)*M20)</f>
        <v>17.36065388893558</v>
      </c>
    </row>
    <row r="21" spans="2:14">
      <c r="N21" s="7"/>
    </row>
    <row r="22" spans="2:14" ht="30">
      <c r="F22" s="150" t="s">
        <v>398</v>
      </c>
      <c r="G22" s="150" t="s">
        <v>399</v>
      </c>
      <c r="H22" s="151" t="s">
        <v>390</v>
      </c>
      <c r="I22" s="152" t="s">
        <v>391</v>
      </c>
      <c r="J22" s="152" t="s">
        <v>392</v>
      </c>
      <c r="K22" s="152"/>
      <c r="L22" s="152"/>
      <c r="M22" s="150"/>
      <c r="N22" s="7"/>
    </row>
    <row r="23" spans="2:14">
      <c r="F23" s="150"/>
      <c r="G23" s="150"/>
      <c r="H23" s="154">
        <v>0</v>
      </c>
      <c r="I23" s="154">
        <f>0.15</f>
        <v>0.15</v>
      </c>
      <c r="J23" s="154">
        <f>I23</f>
        <v>0.15</v>
      </c>
      <c r="K23" s="153">
        <f>K20+H23</f>
        <v>4.5176535999999992</v>
      </c>
      <c r="L23" s="153">
        <f>L20+I23</f>
        <v>14.102869333333333</v>
      </c>
      <c r="M23" s="155">
        <f>SQRT(K23^2+L23^2)</f>
        <v>14.808785145401588</v>
      </c>
      <c r="N23" s="99">
        <f>$D$27*$D$29*$D$30/(SQRT(3)*M23)</f>
        <v>17.193271845914161</v>
      </c>
    </row>
    <row r="24" spans="2:14">
      <c r="N24" s="7"/>
    </row>
    <row r="25" spans="2:14" ht="30">
      <c r="F25" s="101" t="s">
        <v>400</v>
      </c>
      <c r="G25" s="101" t="s">
        <v>384</v>
      </c>
      <c r="H25" s="101" t="s">
        <v>401</v>
      </c>
      <c r="I25" s="102" t="s">
        <v>402</v>
      </c>
      <c r="J25" s="156" t="s">
        <v>403</v>
      </c>
      <c r="K25" s="156"/>
      <c r="L25" s="156"/>
      <c r="M25" s="101"/>
      <c r="N25" s="7"/>
    </row>
    <row r="26" spans="2:14">
      <c r="F26" s="101"/>
      <c r="G26" s="101"/>
      <c r="H26" s="148">
        <f>D33*D39/D40*1000</f>
        <v>23.684210526315791</v>
      </c>
      <c r="I26" s="148">
        <f>0.08*D39</f>
        <v>8</v>
      </c>
      <c r="J26" s="148">
        <f>SQRT(H26^2+I26^2)</f>
        <v>24.998836538024079</v>
      </c>
      <c r="K26" s="148">
        <f>K23+H26</f>
        <v>28.20186412631579</v>
      </c>
      <c r="L26" s="148">
        <f>L23+I26</f>
        <v>22.102869333333331</v>
      </c>
      <c r="M26" s="149">
        <f>SQRT(K26^2+L26^2)</f>
        <v>35.831298789823187</v>
      </c>
      <c r="N26" s="99">
        <f>$D$27*$D$29*$D$30/(SQRT(3)*M26)</f>
        <v>7.105839791242504</v>
      </c>
    </row>
    <row r="27" spans="2:14">
      <c r="B27" s="157" t="s">
        <v>404</v>
      </c>
      <c r="C27" s="158" t="s">
        <v>3</v>
      </c>
      <c r="D27" s="157">
        <v>1.05</v>
      </c>
    </row>
    <row r="28" spans="2:14" ht="15.75" thickBot="1">
      <c r="B28" s="157" t="s">
        <v>405</v>
      </c>
      <c r="C28" s="158" t="s">
        <v>53</v>
      </c>
      <c r="D28" s="157">
        <v>500</v>
      </c>
      <c r="H28" s="159"/>
      <c r="I28" s="159"/>
    </row>
    <row r="29" spans="2:14">
      <c r="B29" s="157" t="s">
        <v>50</v>
      </c>
      <c r="C29" s="158" t="s">
        <v>3</v>
      </c>
      <c r="D29" s="157">
        <v>1.05</v>
      </c>
      <c r="H29" s="160" t="str">
        <f>H4</f>
        <v>Resistência</v>
      </c>
      <c r="I29" s="161" t="str">
        <f t="shared" ref="I29:N30" si="1">I4</f>
        <v>Reatância</v>
      </c>
      <c r="J29" s="162" t="str">
        <f t="shared" si="1"/>
        <v>Impedância</v>
      </c>
      <c r="K29" s="160" t="str">
        <f t="shared" si="1"/>
        <v>R.acum</v>
      </c>
      <c r="L29" s="161" t="str">
        <f t="shared" si="1"/>
        <v>X.acum</v>
      </c>
      <c r="M29" s="162" t="str">
        <f t="shared" si="1"/>
        <v>Z.acum</v>
      </c>
      <c r="N29" s="163" t="str">
        <f t="shared" si="1"/>
        <v>Ik3.max</v>
      </c>
    </row>
    <row r="30" spans="2:14" ht="15.75" thickBot="1">
      <c r="B30" s="157" t="s">
        <v>406</v>
      </c>
      <c r="C30" s="158" t="s">
        <v>11</v>
      </c>
      <c r="D30" s="157">
        <v>400</v>
      </c>
      <c r="H30" s="164" t="s">
        <v>372</v>
      </c>
      <c r="I30" s="165" t="s">
        <v>372</v>
      </c>
      <c r="J30" s="166" t="s">
        <v>372</v>
      </c>
      <c r="K30" s="164" t="s">
        <v>372</v>
      </c>
      <c r="L30" s="165" t="s">
        <v>372</v>
      </c>
      <c r="M30" s="166" t="s">
        <v>372</v>
      </c>
      <c r="N30" s="167" t="str">
        <f t="shared" si="1"/>
        <v>kA</v>
      </c>
    </row>
    <row r="31" spans="2:14">
      <c r="B31" s="157" t="s">
        <v>407</v>
      </c>
      <c r="C31" s="158" t="s">
        <v>39</v>
      </c>
      <c r="D31" s="157">
        <v>800</v>
      </c>
      <c r="F31" s="168" t="str">
        <f>F8</f>
        <v>Za</v>
      </c>
      <c r="G31" s="169" t="str">
        <f>G8</f>
        <v>Rede a montante</v>
      </c>
      <c r="H31" s="170">
        <f t="shared" ref="H31:N31" si="2">H8</f>
        <v>3.5103600000000006E-2</v>
      </c>
      <c r="I31" s="111">
        <f t="shared" si="2"/>
        <v>0.35103600000000001</v>
      </c>
      <c r="J31" s="171">
        <f t="shared" si="2"/>
        <v>0.3528</v>
      </c>
      <c r="K31" s="170">
        <f t="shared" si="2"/>
        <v>3.5103600000000006E-2</v>
      </c>
      <c r="L31" s="111">
        <f t="shared" si="2"/>
        <v>0.35103600000000001</v>
      </c>
      <c r="M31" s="171">
        <f t="shared" si="2"/>
        <v>0.3528</v>
      </c>
      <c r="N31" s="172">
        <f t="shared" si="2"/>
        <v>721.6878364870322</v>
      </c>
    </row>
    <row r="32" spans="2:14">
      <c r="B32" s="157" t="s">
        <v>408</v>
      </c>
      <c r="C32" s="158" t="s">
        <v>1</v>
      </c>
      <c r="D32" s="157">
        <v>6</v>
      </c>
      <c r="F32" s="173" t="str">
        <f>F10</f>
        <v>Zt</v>
      </c>
      <c r="G32" s="174" t="str">
        <f>G10</f>
        <v>Transformador</v>
      </c>
      <c r="H32" s="170">
        <f>H11</f>
        <v>4.1012999999999993</v>
      </c>
      <c r="I32" s="111">
        <f t="shared" ref="I32:N32" si="3">I11</f>
        <v>12.568499999999998</v>
      </c>
      <c r="J32" s="171">
        <f t="shared" si="3"/>
        <v>13.229999999999999</v>
      </c>
      <c r="K32" s="170">
        <f t="shared" si="3"/>
        <v>4.1364035999999995</v>
      </c>
      <c r="L32" s="111">
        <f t="shared" si="3"/>
        <v>12.919535999999999</v>
      </c>
      <c r="M32" s="171">
        <f t="shared" si="3"/>
        <v>13.565553626645281</v>
      </c>
      <c r="N32" s="172">
        <f t="shared" si="3"/>
        <v>18.76896997499022</v>
      </c>
    </row>
    <row r="33" spans="2:14">
      <c r="B33" s="175" t="s">
        <v>409</v>
      </c>
      <c r="C33" s="176" t="s">
        <v>410</v>
      </c>
      <c r="D33" s="157">
        <v>2.2499999999999999E-2</v>
      </c>
      <c r="F33" s="173" t="str">
        <f>F13</f>
        <v>Zcabo1</v>
      </c>
      <c r="G33" s="174" t="str">
        <f>G13</f>
        <v>Cabo QGBT-D1</v>
      </c>
      <c r="H33" s="170">
        <f>H14</f>
        <v>0.15624999999999997</v>
      </c>
      <c r="I33" s="111">
        <f t="shared" ref="I33:N33" si="4">I14</f>
        <v>0.13333333333333333</v>
      </c>
      <c r="J33" s="171">
        <f t="shared" si="4"/>
        <v>0.20540652442845569</v>
      </c>
      <c r="K33" s="170">
        <f t="shared" si="4"/>
        <v>4.2926535999999995</v>
      </c>
      <c r="L33" s="111">
        <f t="shared" si="4"/>
        <v>13.052869333333332</v>
      </c>
      <c r="M33" s="171">
        <f t="shared" si="4"/>
        <v>13.740606710137174</v>
      </c>
      <c r="N33" s="172">
        <f t="shared" si="4"/>
        <v>18.529856365424141</v>
      </c>
    </row>
    <row r="34" spans="2:14">
      <c r="B34" s="175" t="s">
        <v>411</v>
      </c>
      <c r="C34" s="176" t="s">
        <v>410</v>
      </c>
      <c r="D34" s="217">
        <v>3.5999999999999997E-2</v>
      </c>
      <c r="F34" s="173" t="str">
        <f>F16</f>
        <v>Zd1</v>
      </c>
      <c r="G34" s="174" t="str">
        <f>G16</f>
        <v>Disjuntor1</v>
      </c>
      <c r="H34" s="170">
        <f>H17</f>
        <v>0</v>
      </c>
      <c r="I34" s="111">
        <f t="shared" ref="I34:N34" si="5">I17</f>
        <v>0.15</v>
      </c>
      <c r="J34" s="171">
        <f t="shared" si="5"/>
        <v>0.15</v>
      </c>
      <c r="K34" s="170">
        <f t="shared" si="5"/>
        <v>4.2926535999999995</v>
      </c>
      <c r="L34" s="111">
        <f t="shared" si="5"/>
        <v>13.202869333333332</v>
      </c>
      <c r="M34" s="171">
        <f t="shared" si="5"/>
        <v>13.883178078619704</v>
      </c>
      <c r="N34" s="172">
        <f t="shared" si="5"/>
        <v>18.339566579840273</v>
      </c>
    </row>
    <row r="35" spans="2:14">
      <c r="B35" s="157" t="s">
        <v>412</v>
      </c>
      <c r="C35" s="158" t="s">
        <v>50</v>
      </c>
      <c r="D35" s="157">
        <v>5</v>
      </c>
      <c r="F35" s="173" t="str">
        <f>F19</f>
        <v>Zb</v>
      </c>
      <c r="G35" s="174" t="str">
        <f>G19</f>
        <v>Barramento</v>
      </c>
      <c r="H35" s="170">
        <f>H20</f>
        <v>0.22499999999999998</v>
      </c>
      <c r="I35" s="111">
        <f t="shared" ref="I35:N35" si="6">I20</f>
        <v>0.75</v>
      </c>
      <c r="J35" s="171">
        <f t="shared" si="6"/>
        <v>0.7830229881682913</v>
      </c>
      <c r="K35" s="170">
        <f t="shared" si="6"/>
        <v>4.5176535999999992</v>
      </c>
      <c r="L35" s="111">
        <f t="shared" si="6"/>
        <v>13.952869333333332</v>
      </c>
      <c r="M35" s="171">
        <f t="shared" si="6"/>
        <v>14.66600684176394</v>
      </c>
      <c r="N35" s="172">
        <f t="shared" si="6"/>
        <v>17.36065388893558</v>
      </c>
    </row>
    <row r="36" spans="2:14">
      <c r="B36" s="157" t="s">
        <v>413</v>
      </c>
      <c r="C36" s="158" t="s">
        <v>99</v>
      </c>
      <c r="D36" s="157">
        <f>240*3</f>
        <v>720</v>
      </c>
      <c r="F36" s="173" t="str">
        <f>F22</f>
        <v>Zd2</v>
      </c>
      <c r="G36" s="174" t="str">
        <f>G22</f>
        <v>Disjuntor2</v>
      </c>
      <c r="H36" s="170">
        <f>H23</f>
        <v>0</v>
      </c>
      <c r="I36" s="111">
        <f t="shared" ref="I36:N36" si="7">I23</f>
        <v>0.15</v>
      </c>
      <c r="J36" s="171">
        <f t="shared" si="7"/>
        <v>0.15</v>
      </c>
      <c r="K36" s="170">
        <f t="shared" si="7"/>
        <v>4.5176535999999992</v>
      </c>
      <c r="L36" s="111">
        <f t="shared" si="7"/>
        <v>14.102869333333333</v>
      </c>
      <c r="M36" s="171">
        <f t="shared" si="7"/>
        <v>14.808785145401588</v>
      </c>
      <c r="N36" s="172">
        <f t="shared" si="7"/>
        <v>17.193271845914161</v>
      </c>
    </row>
    <row r="37" spans="2:14" ht="15.75" thickBot="1">
      <c r="B37" s="157" t="s">
        <v>414</v>
      </c>
      <c r="C37" s="158" t="s">
        <v>50</v>
      </c>
      <c r="D37" s="157">
        <v>5</v>
      </c>
      <c r="F37" s="177" t="str">
        <f>F25</f>
        <v>Zcabo2</v>
      </c>
      <c r="G37" s="178" t="str">
        <f>G25</f>
        <v>Cabo QGBT-D1</v>
      </c>
      <c r="H37" s="179">
        <f>H26</f>
        <v>23.684210526315791</v>
      </c>
      <c r="I37" s="180">
        <f t="shared" ref="I37:N37" si="8">I26</f>
        <v>8</v>
      </c>
      <c r="J37" s="181">
        <f t="shared" si="8"/>
        <v>24.998836538024079</v>
      </c>
      <c r="K37" s="179">
        <f t="shared" si="8"/>
        <v>28.20186412631579</v>
      </c>
      <c r="L37" s="180">
        <f t="shared" si="8"/>
        <v>22.102869333333331</v>
      </c>
      <c r="M37" s="181">
        <f t="shared" si="8"/>
        <v>35.831298789823187</v>
      </c>
      <c r="N37" s="182">
        <f t="shared" si="8"/>
        <v>7.105839791242504</v>
      </c>
    </row>
    <row r="38" spans="2:14">
      <c r="B38" s="157" t="s">
        <v>415</v>
      </c>
      <c r="C38" s="158" t="s">
        <v>99</v>
      </c>
      <c r="D38" s="157">
        <f>100*5</f>
        <v>500</v>
      </c>
    </row>
    <row r="39" spans="2:14">
      <c r="B39" s="157" t="s">
        <v>416</v>
      </c>
      <c r="C39" s="158" t="s">
        <v>50</v>
      </c>
      <c r="D39" s="157">
        <v>100</v>
      </c>
    </row>
    <row r="40" spans="2:14">
      <c r="B40" s="157" t="s">
        <v>417</v>
      </c>
      <c r="C40" s="158" t="s">
        <v>99</v>
      </c>
      <c r="D40" s="157">
        <v>95</v>
      </c>
    </row>
  </sheetData>
  <pageMargins left="0.7" right="0.7" top="0.75" bottom="0.75" header="0.3" footer="0.3"/>
  <pageSetup paperSize="9" orientation="portrait" r:id="rId1"/>
  <drawing r:id="rId2"/>
  <legacyDrawing r:id="rId3"/>
  <oleObjects>
    <oleObject progId="Equation.3" shapeId="6146" r:id="rId4"/>
    <oleObject progId="Equation.3" shapeId="6147" r:id="rId5"/>
    <oleObject progId="Equation.3" shapeId="6148" r:id="rId6"/>
  </oleObjects>
</worksheet>
</file>

<file path=xl/worksheets/sheet10.xml><?xml version="1.0" encoding="utf-8"?>
<worksheet xmlns="http://schemas.openxmlformats.org/spreadsheetml/2006/main" xmlns:r="http://schemas.openxmlformats.org/officeDocument/2006/relationships">
  <dimension ref="B2:N68"/>
  <sheetViews>
    <sheetView topLeftCell="A43" workbookViewId="0">
      <selection activeCell="I67" sqref="I67"/>
    </sheetView>
  </sheetViews>
  <sheetFormatPr defaultColWidth="9.140625" defaultRowHeight="15"/>
  <cols>
    <col min="2" max="2" width="8.140625" customWidth="1"/>
    <col min="3" max="3" width="10.7109375" customWidth="1"/>
    <col min="4" max="4" width="7.85546875" customWidth="1"/>
    <col min="6" max="6" width="8.7109375" customWidth="1"/>
    <col min="7" max="7" width="16.28515625" bestFit="1" customWidth="1"/>
    <col min="8" max="8" width="15" style="1" bestFit="1" customWidth="1"/>
    <col min="9" max="9" width="13.42578125" style="1" bestFit="1" customWidth="1"/>
    <col min="10" max="10" width="20.140625" style="1" customWidth="1"/>
    <col min="11" max="12" width="11.7109375" style="1" customWidth="1"/>
    <col min="13" max="13" width="11.7109375" customWidth="1"/>
    <col min="14" max="14" width="9.140625" style="5"/>
  </cols>
  <sheetData>
    <row r="2" spans="2:14">
      <c r="H2" s="1" t="s">
        <v>365</v>
      </c>
    </row>
    <row r="4" spans="2:14">
      <c r="H4" s="1" t="s">
        <v>366</v>
      </c>
      <c r="I4" s="1" t="s">
        <v>367</v>
      </c>
      <c r="J4" s="1" t="s">
        <v>368</v>
      </c>
      <c r="K4" s="1" t="s">
        <v>369</v>
      </c>
      <c r="L4" s="1" t="s">
        <v>370</v>
      </c>
      <c r="M4" s="1" t="s">
        <v>371</v>
      </c>
      <c r="N4" s="6" t="s">
        <v>547</v>
      </c>
    </row>
    <row r="5" spans="2:14">
      <c r="H5" s="1" t="s">
        <v>372</v>
      </c>
      <c r="I5" s="1" t="s">
        <v>372</v>
      </c>
      <c r="J5" s="1" t="s">
        <v>372</v>
      </c>
      <c r="K5" s="1" t="s">
        <v>372</v>
      </c>
      <c r="L5" s="1" t="s">
        <v>372</v>
      </c>
      <c r="M5" s="1" t="s">
        <v>372</v>
      </c>
      <c r="N5" s="6" t="s">
        <v>127</v>
      </c>
    </row>
    <row r="7" spans="2:14">
      <c r="F7" s="101"/>
      <c r="G7" s="101"/>
      <c r="H7" s="102" t="s">
        <v>373</v>
      </c>
      <c r="I7" s="102" t="s">
        <v>374</v>
      </c>
      <c r="J7" s="102" t="s">
        <v>375</v>
      </c>
      <c r="K7" s="102"/>
      <c r="L7" s="102"/>
      <c r="M7" s="102"/>
    </row>
    <row r="8" spans="2:14">
      <c r="F8" s="101" t="s">
        <v>376</v>
      </c>
      <c r="G8" s="101" t="s">
        <v>377</v>
      </c>
      <c r="H8" s="148">
        <f>I8*0.1</f>
        <v>3.5103600000000006E-2</v>
      </c>
      <c r="I8" s="148">
        <f>J8*0.995</f>
        <v>0.35103600000000001</v>
      </c>
      <c r="J8" s="148">
        <f>(D29*D30)^2/(D28*10^6)*1000</f>
        <v>0.3528</v>
      </c>
      <c r="K8" s="148">
        <f>H8</f>
        <v>3.5103600000000006E-2</v>
      </c>
      <c r="L8" s="148">
        <f>I8</f>
        <v>0.35103600000000001</v>
      </c>
      <c r="M8" s="149">
        <f>J8</f>
        <v>0.3528</v>
      </c>
      <c r="N8" s="99">
        <f>$D$27*$D$29*$D$30/(SQRT(3)*M8)</f>
        <v>721.6878364870322</v>
      </c>
    </row>
    <row r="9" spans="2:14">
      <c r="N9" s="7"/>
    </row>
    <row r="10" spans="2:14" ht="31.5" customHeight="1">
      <c r="B10" s="183" t="s">
        <v>418</v>
      </c>
      <c r="C10" s="101"/>
      <c r="F10" s="150" t="s">
        <v>378</v>
      </c>
      <c r="G10" s="150" t="s">
        <v>379</v>
      </c>
      <c r="H10" s="151" t="s">
        <v>380</v>
      </c>
      <c r="I10" s="151" t="s">
        <v>381</v>
      </c>
      <c r="J10" s="152" t="s">
        <v>382</v>
      </c>
      <c r="K10" s="152"/>
      <c r="L10" s="152"/>
      <c r="M10" s="150"/>
      <c r="N10" s="7"/>
    </row>
    <row r="11" spans="2:14">
      <c r="F11" s="150"/>
      <c r="G11" s="150"/>
      <c r="H11" s="153">
        <f>0.31*J11</f>
        <v>1.3671</v>
      </c>
      <c r="I11" s="153">
        <f>0.95*J11</f>
        <v>4.1894999999999998</v>
      </c>
      <c r="J11" s="153">
        <f>(D29*D30)^2*D32/D31/1000/100*1000</f>
        <v>4.41</v>
      </c>
      <c r="K11" s="155">
        <f t="shared" ref="K11:L11" si="0">H11+H8</f>
        <v>1.4022036</v>
      </c>
      <c r="L11" s="155">
        <f t="shared" si="0"/>
        <v>4.5405359999999995</v>
      </c>
      <c r="M11" s="155">
        <f>SQRT(K11^2+L11^2)</f>
        <v>4.7521197484016486</v>
      </c>
      <c r="N11" s="99">
        <f>$D$27*$D$29*$D$30/(SQRT(3)*M11)</f>
        <v>53.57850437128868</v>
      </c>
    </row>
    <row r="12" spans="2:14">
      <c r="N12" s="7"/>
    </row>
    <row r="13" spans="2:14" ht="30">
      <c r="F13" s="101" t="s">
        <v>383</v>
      </c>
      <c r="G13" s="101" t="s">
        <v>384</v>
      </c>
      <c r="H13" s="101" t="s">
        <v>419</v>
      </c>
      <c r="I13" s="102" t="s">
        <v>420</v>
      </c>
      <c r="J13" s="156" t="s">
        <v>387</v>
      </c>
      <c r="K13" s="156"/>
      <c r="L13" s="156"/>
      <c r="M13" s="101"/>
      <c r="N13" s="7"/>
    </row>
    <row r="14" spans="2:14">
      <c r="F14" s="101" t="s">
        <v>421</v>
      </c>
      <c r="G14" s="101"/>
      <c r="H14" s="148">
        <f>D33*D35/D36*1000/2</f>
        <v>0.18749999999999997</v>
      </c>
      <c r="I14" s="148">
        <f>0.085*D35/4/2</f>
        <v>0.10625000000000001</v>
      </c>
      <c r="J14" s="148">
        <f>SQRT(H14^2+I14^2)</f>
        <v>0.21551174561958331</v>
      </c>
      <c r="K14" s="148">
        <f>K11+H14</f>
        <v>1.5897036</v>
      </c>
      <c r="L14" s="148">
        <f>L11+I14</f>
        <v>4.6467859999999996</v>
      </c>
      <c r="M14" s="149">
        <f>SQRT(K14^2+L14^2)</f>
        <v>4.911189027684534</v>
      </c>
      <c r="N14" s="99">
        <f>$D$27*$D$29*$D$30/(SQRT(3)*M14)</f>
        <v>51.843141707104273</v>
      </c>
    </row>
    <row r="15" spans="2:14">
      <c r="N15" s="7"/>
    </row>
    <row r="16" spans="2:14" ht="30">
      <c r="F16" s="150" t="s">
        <v>388</v>
      </c>
      <c r="G16" s="150" t="s">
        <v>389</v>
      </c>
      <c r="H16" s="151" t="s">
        <v>390</v>
      </c>
      <c r="I16" s="152" t="s">
        <v>391</v>
      </c>
      <c r="J16" s="152" t="s">
        <v>392</v>
      </c>
      <c r="K16" s="152"/>
      <c r="L16" s="152"/>
      <c r="M16" s="150"/>
      <c r="N16" s="7"/>
    </row>
    <row r="17" spans="2:14">
      <c r="F17" s="150" t="s">
        <v>422</v>
      </c>
      <c r="G17" s="150"/>
      <c r="H17" s="154">
        <v>0</v>
      </c>
      <c r="I17" s="154">
        <f>0.15/2</f>
        <v>7.4999999999999997E-2</v>
      </c>
      <c r="J17" s="154">
        <f>I17</f>
        <v>7.4999999999999997E-2</v>
      </c>
      <c r="K17" s="153">
        <f>K14+H17</f>
        <v>1.5897036</v>
      </c>
      <c r="L17" s="153">
        <f>L14+I17</f>
        <v>4.7217859999999998</v>
      </c>
      <c r="M17" s="155">
        <f>SQRT(K17^2+L17^2)</f>
        <v>4.9822104096122795</v>
      </c>
      <c r="N17" s="99">
        <f>$D$27*$D$29*$D$30/(SQRT(3)*M17)</f>
        <v>51.104118007821974</v>
      </c>
    </row>
    <row r="18" spans="2:14">
      <c r="N18" s="7"/>
    </row>
    <row r="19" spans="2:14" ht="30">
      <c r="F19" s="101" t="s">
        <v>423</v>
      </c>
      <c r="G19" s="101" t="s">
        <v>424</v>
      </c>
      <c r="H19" s="101" t="s">
        <v>395</v>
      </c>
      <c r="I19" s="156" t="s">
        <v>396</v>
      </c>
      <c r="J19" s="156" t="s">
        <v>397</v>
      </c>
      <c r="K19" s="156"/>
      <c r="L19" s="156"/>
      <c r="M19" s="101"/>
      <c r="N19" s="7"/>
    </row>
    <row r="20" spans="2:14">
      <c r="F20" s="101"/>
      <c r="G20" s="101" t="s">
        <v>425</v>
      </c>
      <c r="H20" s="148">
        <f>D33*D37/D38*1000</f>
        <v>5.6249999999999994E-2</v>
      </c>
      <c r="I20" s="148">
        <f>0.15*D37</f>
        <v>0.75</v>
      </c>
      <c r="J20" s="148">
        <f>SQRT(H20^2+I20^2)</f>
        <v>0.75210641700493419</v>
      </c>
      <c r="K20" s="148">
        <f>K17+H20</f>
        <v>1.6459535999999999</v>
      </c>
      <c r="L20" s="148">
        <f>L17+I20</f>
        <v>5.4717859999999998</v>
      </c>
      <c r="M20" s="149">
        <f>SQRT(K20^2+L20^2)</f>
        <v>5.7139833114167349</v>
      </c>
      <c r="N20" s="99">
        <f>$D$27*$D$29*$D$30/(SQRT(3)*M20)</f>
        <v>44.559365128683964</v>
      </c>
    </row>
    <row r="21" spans="2:14">
      <c r="N21" s="7"/>
    </row>
    <row r="22" spans="2:14" ht="30">
      <c r="F22" s="150" t="s">
        <v>426</v>
      </c>
      <c r="G22" s="150" t="s">
        <v>427</v>
      </c>
      <c r="H22" s="151" t="s">
        <v>390</v>
      </c>
      <c r="I22" s="152" t="s">
        <v>391</v>
      </c>
      <c r="J22" s="152" t="s">
        <v>392</v>
      </c>
      <c r="K22" s="152"/>
      <c r="L22" s="152"/>
      <c r="M22" s="150"/>
      <c r="N22" s="7"/>
    </row>
    <row r="23" spans="2:14">
      <c r="F23" s="150"/>
      <c r="G23" s="150"/>
      <c r="H23" s="154">
        <v>0</v>
      </c>
      <c r="I23" s="154">
        <f>0.15</f>
        <v>0.15</v>
      </c>
      <c r="J23" s="154">
        <f>I23</f>
        <v>0.15</v>
      </c>
      <c r="K23" s="153">
        <f>K20+H23</f>
        <v>1.6459535999999999</v>
      </c>
      <c r="L23" s="153">
        <f>L20+I23</f>
        <v>5.6217860000000002</v>
      </c>
      <c r="M23" s="155">
        <f>SQRT(K23^2+L23^2)</f>
        <v>5.8577846566043181</v>
      </c>
      <c r="N23" s="99">
        <f>$D$27*$D$29*$D$30/(SQRT(3)*M23)</f>
        <v>43.465488002459274</v>
      </c>
    </row>
    <row r="24" spans="2:14">
      <c r="N24" s="7"/>
    </row>
    <row r="25" spans="2:14" ht="30">
      <c r="F25" s="101" t="s">
        <v>428</v>
      </c>
      <c r="G25" s="101" t="s">
        <v>429</v>
      </c>
      <c r="H25" s="101" t="s">
        <v>430</v>
      </c>
      <c r="I25" s="102" t="s">
        <v>431</v>
      </c>
      <c r="J25" s="156" t="s">
        <v>432</v>
      </c>
      <c r="K25" s="156"/>
      <c r="L25" s="156"/>
      <c r="M25" s="101"/>
      <c r="N25" s="7"/>
    </row>
    <row r="26" spans="2:14">
      <c r="F26" s="101"/>
      <c r="G26" s="101"/>
      <c r="H26" s="148">
        <f>D33*D39/D40*1000</f>
        <v>102.85714285714285</v>
      </c>
      <c r="I26" s="148">
        <f>0.08*D39</f>
        <v>25.6</v>
      </c>
      <c r="J26" s="148">
        <f>SQRT(H26^2+I26^2)</f>
        <v>105.99505571834325</v>
      </c>
      <c r="K26" s="148">
        <f>K23+H26</f>
        <v>104.50309645714285</v>
      </c>
      <c r="L26" s="148">
        <f>L23+I26</f>
        <v>31.221786000000002</v>
      </c>
      <c r="M26" s="149">
        <f>SQRT(K26^2+L26^2)</f>
        <v>109.06739700827511</v>
      </c>
      <c r="N26" s="99">
        <f>$D$27*$D$29*$D$30/(SQRT(3)*M26)</f>
        <v>2.3344415993837941</v>
      </c>
    </row>
    <row r="27" spans="2:14">
      <c r="B27" s="157" t="s">
        <v>404</v>
      </c>
      <c r="C27" s="158" t="s">
        <v>3</v>
      </c>
      <c r="D27" s="157">
        <v>1.05</v>
      </c>
    </row>
    <row r="28" spans="2:14" ht="30">
      <c r="B28" s="157" t="s">
        <v>405</v>
      </c>
      <c r="C28" s="158" t="s">
        <v>53</v>
      </c>
      <c r="D28" s="157">
        <v>500</v>
      </c>
      <c r="F28" s="101" t="s">
        <v>433</v>
      </c>
      <c r="G28" s="101" t="s">
        <v>434</v>
      </c>
      <c r="H28" s="101" t="s">
        <v>395</v>
      </c>
      <c r="I28" s="156" t="s">
        <v>396</v>
      </c>
      <c r="J28" s="156" t="s">
        <v>397</v>
      </c>
      <c r="K28" s="156"/>
      <c r="L28" s="156"/>
      <c r="M28" s="101"/>
      <c r="N28" s="7"/>
    </row>
    <row r="29" spans="2:14">
      <c r="B29" s="157" t="s">
        <v>50</v>
      </c>
      <c r="C29" s="158" t="s">
        <v>3</v>
      </c>
      <c r="D29" s="157">
        <v>1.05</v>
      </c>
      <c r="F29" s="101"/>
      <c r="G29" s="101" t="s">
        <v>435</v>
      </c>
      <c r="H29" s="148">
        <f>D33*D43/D44*1000</f>
        <v>1.5</v>
      </c>
      <c r="I29" s="148">
        <f>0.15*D43</f>
        <v>0.44999999999999996</v>
      </c>
      <c r="J29" s="148">
        <f>SQRT(H29^2+I29^2)</f>
        <v>1.5660459763365826</v>
      </c>
      <c r="K29" s="148">
        <f>K26+H29</f>
        <v>106.00309645714285</v>
      </c>
      <c r="L29" s="148">
        <f>L26+I29</f>
        <v>31.671786000000001</v>
      </c>
      <c r="M29" s="149">
        <f>SQRT(K29^2+L29^2)</f>
        <v>110.63344199170577</v>
      </c>
      <c r="N29" s="99">
        <f>$D$27*$D$29*$D$30/(SQRT(3)*M29)</f>
        <v>2.3013969748108649</v>
      </c>
    </row>
    <row r="30" spans="2:14">
      <c r="B30" s="157" t="s">
        <v>406</v>
      </c>
      <c r="C30" s="158" t="s">
        <v>11</v>
      </c>
      <c r="D30" s="157">
        <v>400</v>
      </c>
      <c r="N30" s="7"/>
    </row>
    <row r="31" spans="2:14" ht="30">
      <c r="B31" s="157" t="s">
        <v>407</v>
      </c>
      <c r="C31" s="158" t="s">
        <v>39</v>
      </c>
      <c r="D31" s="184">
        <f>bal_pot!M53*2</f>
        <v>2000</v>
      </c>
      <c r="F31" s="150" t="s">
        <v>436</v>
      </c>
      <c r="G31" s="150" t="s">
        <v>437</v>
      </c>
      <c r="H31" s="151" t="s">
        <v>390</v>
      </c>
      <c r="I31" s="152" t="s">
        <v>391</v>
      </c>
      <c r="J31" s="152" t="s">
        <v>392</v>
      </c>
      <c r="K31" s="152"/>
      <c r="L31" s="152"/>
      <c r="M31" s="150"/>
      <c r="N31" s="7"/>
    </row>
    <row r="32" spans="2:14">
      <c r="B32" s="157" t="s">
        <v>408</v>
      </c>
      <c r="C32" s="158" t="s">
        <v>1</v>
      </c>
      <c r="D32" s="157">
        <v>5</v>
      </c>
      <c r="F32" s="150"/>
      <c r="G32" s="150"/>
      <c r="H32" s="154">
        <v>0</v>
      </c>
      <c r="I32" s="154">
        <f>0.15</f>
        <v>0.15</v>
      </c>
      <c r="J32" s="154">
        <f>I32</f>
        <v>0.15</v>
      </c>
      <c r="K32" s="153">
        <f>K29+H32</f>
        <v>106.00309645714285</v>
      </c>
      <c r="L32" s="153">
        <f>L29+I32</f>
        <v>31.821785999999999</v>
      </c>
      <c r="M32" s="155">
        <f>SQRT(K32^2+L32^2)</f>
        <v>110.67647682652409</v>
      </c>
      <c r="N32" s="99">
        <f>$D$27*$D$29*$D$30/(SQRT(3)*M32)</f>
        <v>2.3005021122212503</v>
      </c>
    </row>
    <row r="33" spans="2:14">
      <c r="B33" s="175" t="s">
        <v>409</v>
      </c>
      <c r="C33" s="176" t="s">
        <v>410</v>
      </c>
      <c r="D33" s="157">
        <v>2.2499999999999999E-2</v>
      </c>
      <c r="N33" s="7"/>
    </row>
    <row r="34" spans="2:14" ht="30">
      <c r="B34" s="175" t="s">
        <v>411</v>
      </c>
      <c r="C34" s="176" t="s">
        <v>410</v>
      </c>
      <c r="D34" s="157">
        <v>3.5999999999999997E-2</v>
      </c>
      <c r="F34" s="101" t="s">
        <v>438</v>
      </c>
      <c r="G34" s="101" t="s">
        <v>439</v>
      </c>
      <c r="H34" s="101" t="s">
        <v>401</v>
      </c>
      <c r="I34" s="102" t="s">
        <v>402</v>
      </c>
      <c r="J34" s="156" t="s">
        <v>403</v>
      </c>
      <c r="K34" s="156"/>
      <c r="L34" s="156"/>
      <c r="M34" s="101"/>
      <c r="N34" s="7"/>
    </row>
    <row r="35" spans="2:14">
      <c r="B35" s="157" t="s">
        <v>412</v>
      </c>
      <c r="C35" s="158" t="s">
        <v>50</v>
      </c>
      <c r="D35" s="157">
        <f>perg1a4!F88</f>
        <v>10</v>
      </c>
      <c r="F35" s="101"/>
      <c r="G35" s="101"/>
      <c r="H35" s="148">
        <f>$D$33*D41/D42*1000</f>
        <v>56.249999999999993</v>
      </c>
      <c r="I35" s="148">
        <f>0.08*D41</f>
        <v>1.2</v>
      </c>
      <c r="J35" s="148">
        <f>SQRT(H35^2+I35^2)</f>
        <v>56.262798543975741</v>
      </c>
      <c r="K35" s="148">
        <f>K32+H35</f>
        <v>162.25309645714285</v>
      </c>
      <c r="L35" s="148">
        <f>L32+I35</f>
        <v>33.021785999999999</v>
      </c>
      <c r="M35" s="149">
        <f>SQRT(K35^2+L35^2)</f>
        <v>165.57930323733305</v>
      </c>
      <c r="N35" s="185">
        <f>$D$27*$D$29*$D$30/(SQRT(3)*M35)</f>
        <v>1.5377010516083505</v>
      </c>
    </row>
    <row r="36" spans="2:14">
      <c r="B36" s="157" t="s">
        <v>413</v>
      </c>
      <c r="C36" s="158" t="s">
        <v>99</v>
      </c>
      <c r="D36" s="157">
        <f>perg1a4!F89</f>
        <v>600</v>
      </c>
    </row>
    <row r="37" spans="2:14" ht="15.75" thickBot="1">
      <c r="B37" s="157" t="s">
        <v>440</v>
      </c>
      <c r="C37" s="158" t="s">
        <v>50</v>
      </c>
      <c r="D37" s="157">
        <v>5</v>
      </c>
      <c r="H37" s="159"/>
      <c r="I37" s="159"/>
    </row>
    <row r="38" spans="2:14">
      <c r="B38" s="157" t="s">
        <v>441</v>
      </c>
      <c r="C38" s="158" t="s">
        <v>99</v>
      </c>
      <c r="D38" s="157">
        <f>2*100*10</f>
        <v>2000</v>
      </c>
      <c r="H38" s="160" t="str">
        <f>H4</f>
        <v>Resistência</v>
      </c>
      <c r="I38" s="161" t="str">
        <f t="shared" ref="I38:N39" si="1">I4</f>
        <v>Reatância</v>
      </c>
      <c r="J38" s="162" t="str">
        <f t="shared" si="1"/>
        <v>Impedância</v>
      </c>
      <c r="K38" s="160" t="str">
        <f t="shared" si="1"/>
        <v>R.acum</v>
      </c>
      <c r="L38" s="161" t="str">
        <f t="shared" si="1"/>
        <v>X.acum</v>
      </c>
      <c r="M38" s="162" t="str">
        <f t="shared" si="1"/>
        <v>Z.acum</v>
      </c>
      <c r="N38" s="163" t="str">
        <f t="shared" si="1"/>
        <v>Ik3.max</v>
      </c>
    </row>
    <row r="39" spans="2:14" ht="15.75" thickBot="1">
      <c r="B39" s="157" t="s">
        <v>416</v>
      </c>
      <c r="C39" s="158" t="s">
        <v>50</v>
      </c>
      <c r="D39" s="157">
        <v>320</v>
      </c>
      <c r="H39" s="164" t="s">
        <v>372</v>
      </c>
      <c r="I39" s="165" t="s">
        <v>372</v>
      </c>
      <c r="J39" s="166" t="s">
        <v>372</v>
      </c>
      <c r="K39" s="164" t="s">
        <v>372</v>
      </c>
      <c r="L39" s="165" t="s">
        <v>372</v>
      </c>
      <c r="M39" s="166" t="s">
        <v>372</v>
      </c>
      <c r="N39" s="167" t="str">
        <f t="shared" si="1"/>
        <v>kA</v>
      </c>
    </row>
    <row r="40" spans="2:14">
      <c r="B40" s="157" t="s">
        <v>417</v>
      </c>
      <c r="C40" s="158" t="s">
        <v>99</v>
      </c>
      <c r="D40" s="157">
        <v>70</v>
      </c>
      <c r="F40" s="168" t="str">
        <f>F8</f>
        <v>Za</v>
      </c>
      <c r="G40" s="169" t="str">
        <f>G8</f>
        <v>Rede a montante</v>
      </c>
      <c r="H40" s="170">
        <f t="shared" ref="H40:N40" si="2">H8</f>
        <v>3.5103600000000006E-2</v>
      </c>
      <c r="I40" s="111">
        <f t="shared" si="2"/>
        <v>0.35103600000000001</v>
      </c>
      <c r="J40" s="171">
        <f t="shared" si="2"/>
        <v>0.3528</v>
      </c>
      <c r="K40" s="170">
        <f t="shared" si="2"/>
        <v>3.5103600000000006E-2</v>
      </c>
      <c r="L40" s="111">
        <f t="shared" si="2"/>
        <v>0.35103600000000001</v>
      </c>
      <c r="M40" s="171">
        <f t="shared" si="2"/>
        <v>0.3528</v>
      </c>
      <c r="N40" s="172">
        <f t="shared" si="2"/>
        <v>721.6878364870322</v>
      </c>
    </row>
    <row r="41" spans="2:14">
      <c r="B41" s="157" t="s">
        <v>442</v>
      </c>
      <c r="C41" s="158" t="s">
        <v>50</v>
      </c>
      <c r="D41" s="157">
        <f>perg1a4!M88</f>
        <v>15</v>
      </c>
      <c r="F41" s="173" t="str">
        <f>F10</f>
        <v>Zt</v>
      </c>
      <c r="G41" s="174" t="str">
        <f>G10</f>
        <v>Transformador</v>
      </c>
      <c r="H41" s="170">
        <f>0.31*J41</f>
        <v>1.3671</v>
      </c>
      <c r="I41" s="111">
        <f>J41*0.95</f>
        <v>4.1894999999999998</v>
      </c>
      <c r="J41" s="171">
        <f>(D29*D30)^2*D32/D31/1000/100*1000</f>
        <v>4.41</v>
      </c>
      <c r="K41" s="170">
        <f t="shared" ref="K41:N41" si="3">K11</f>
        <v>1.4022036</v>
      </c>
      <c r="L41" s="111">
        <f t="shared" si="3"/>
        <v>4.5405359999999995</v>
      </c>
      <c r="M41" s="171">
        <f t="shared" si="3"/>
        <v>4.7521197484016486</v>
      </c>
      <c r="N41" s="172">
        <f t="shared" si="3"/>
        <v>53.57850437128868</v>
      </c>
    </row>
    <row r="42" spans="2:14">
      <c r="B42" s="157" t="s">
        <v>443</v>
      </c>
      <c r="C42" s="158" t="s">
        <v>99</v>
      </c>
      <c r="D42" s="157">
        <f>perg1a4!M96</f>
        <v>6</v>
      </c>
      <c r="F42" s="173" t="str">
        <f>F13</f>
        <v>Zcabo1</v>
      </c>
      <c r="G42" s="174" t="str">
        <f>G13</f>
        <v>Cabo QGBT-D1</v>
      </c>
      <c r="H42" s="170">
        <f>H14</f>
        <v>0.18749999999999997</v>
      </c>
      <c r="I42" s="111">
        <f t="shared" ref="I42:N42" si="4">I14</f>
        <v>0.10625000000000001</v>
      </c>
      <c r="J42" s="171">
        <f t="shared" si="4"/>
        <v>0.21551174561958331</v>
      </c>
      <c r="K42" s="170">
        <f t="shared" si="4"/>
        <v>1.5897036</v>
      </c>
      <c r="L42" s="111">
        <f t="shared" si="4"/>
        <v>4.6467859999999996</v>
      </c>
      <c r="M42" s="171">
        <f t="shared" si="4"/>
        <v>4.911189027684534</v>
      </c>
      <c r="N42" s="172">
        <f t="shared" si="4"/>
        <v>51.843141707104273</v>
      </c>
    </row>
    <row r="43" spans="2:14">
      <c r="B43" s="157" t="s">
        <v>444</v>
      </c>
      <c r="C43" s="158" t="s">
        <v>50</v>
      </c>
      <c r="D43" s="157">
        <v>3</v>
      </c>
      <c r="F43" s="173" t="str">
        <f>F16</f>
        <v>Zd1</v>
      </c>
      <c r="G43" s="174" t="str">
        <f>G16</f>
        <v>Disjuntor1</v>
      </c>
      <c r="H43" s="170">
        <f>H17</f>
        <v>0</v>
      </c>
      <c r="I43" s="111">
        <f t="shared" ref="I43:N43" si="5">I17</f>
        <v>7.4999999999999997E-2</v>
      </c>
      <c r="J43" s="171">
        <f t="shared" si="5"/>
        <v>7.4999999999999997E-2</v>
      </c>
      <c r="K43" s="170">
        <f t="shared" si="5"/>
        <v>1.5897036</v>
      </c>
      <c r="L43" s="111">
        <f t="shared" si="5"/>
        <v>4.7217859999999998</v>
      </c>
      <c r="M43" s="171">
        <f t="shared" si="5"/>
        <v>4.9822104096122795</v>
      </c>
      <c r="N43" s="172">
        <f t="shared" si="5"/>
        <v>51.104118007821974</v>
      </c>
    </row>
    <row r="44" spans="2:14">
      <c r="B44" s="157" t="s">
        <v>445</v>
      </c>
      <c r="C44" s="158" t="s">
        <v>99</v>
      </c>
      <c r="D44" s="157">
        <f>15*3</f>
        <v>45</v>
      </c>
      <c r="F44" s="173" t="str">
        <f>F19</f>
        <v>Zb1</v>
      </c>
      <c r="G44" s="174" t="str">
        <f>G19</f>
        <v>Barramento1</v>
      </c>
      <c r="H44" s="170">
        <f>H20</f>
        <v>5.6249999999999994E-2</v>
      </c>
      <c r="I44" s="111">
        <f t="shared" ref="I44:N44" si="6">I20</f>
        <v>0.75</v>
      </c>
      <c r="J44" s="171">
        <f t="shared" si="6"/>
        <v>0.75210641700493419</v>
      </c>
      <c r="K44" s="170">
        <f t="shared" si="6"/>
        <v>1.6459535999999999</v>
      </c>
      <c r="L44" s="111">
        <f t="shared" si="6"/>
        <v>5.4717859999999998</v>
      </c>
      <c r="M44" s="171">
        <f t="shared" si="6"/>
        <v>5.7139833114167349</v>
      </c>
      <c r="N44" s="172">
        <f t="shared" si="6"/>
        <v>44.559365128683964</v>
      </c>
    </row>
    <row r="45" spans="2:14">
      <c r="F45" s="173" t="str">
        <f>F22</f>
        <v>Zd4</v>
      </c>
      <c r="G45" s="174" t="str">
        <f>G22</f>
        <v>Disjuntor4</v>
      </c>
      <c r="H45" s="170">
        <f>H23</f>
        <v>0</v>
      </c>
      <c r="I45" s="111">
        <f t="shared" ref="I45:N45" si="7">I23</f>
        <v>0.15</v>
      </c>
      <c r="J45" s="171">
        <f t="shared" si="7"/>
        <v>0.15</v>
      </c>
      <c r="K45" s="170">
        <f t="shared" si="7"/>
        <v>1.6459535999999999</v>
      </c>
      <c r="L45" s="111">
        <f t="shared" si="7"/>
        <v>5.6217860000000002</v>
      </c>
      <c r="M45" s="171">
        <f t="shared" si="7"/>
        <v>5.8577846566043181</v>
      </c>
      <c r="N45" s="172">
        <f t="shared" si="7"/>
        <v>43.465488002459274</v>
      </c>
    </row>
    <row r="46" spans="2:14">
      <c r="F46" s="173" t="str">
        <f>F25</f>
        <v>Zcabo4</v>
      </c>
      <c r="G46" s="174" t="str">
        <f>G25</f>
        <v>Cabo Q4-Q40</v>
      </c>
      <c r="H46" s="170">
        <f>H26</f>
        <v>102.85714285714285</v>
      </c>
      <c r="I46" s="111">
        <f t="shared" ref="I46:N46" si="8">I26</f>
        <v>25.6</v>
      </c>
      <c r="J46" s="171">
        <f t="shared" si="8"/>
        <v>105.99505571834325</v>
      </c>
      <c r="K46" s="170">
        <f t="shared" si="8"/>
        <v>104.50309645714285</v>
      </c>
      <c r="L46" s="111">
        <f t="shared" si="8"/>
        <v>31.221786000000002</v>
      </c>
      <c r="M46" s="171">
        <f t="shared" si="8"/>
        <v>109.06739700827511</v>
      </c>
      <c r="N46" s="172">
        <f t="shared" si="8"/>
        <v>2.3344415993837941</v>
      </c>
    </row>
    <row r="47" spans="2:14">
      <c r="F47" s="173" t="str">
        <f>F28</f>
        <v>Zb2</v>
      </c>
      <c r="G47" s="174" t="str">
        <f>G28</f>
        <v>Barramento2</v>
      </c>
      <c r="H47" s="170">
        <f t="shared" ref="H47:N47" si="9">H29</f>
        <v>1.5</v>
      </c>
      <c r="I47" s="111">
        <f t="shared" si="9"/>
        <v>0.44999999999999996</v>
      </c>
      <c r="J47" s="171">
        <f t="shared" si="9"/>
        <v>1.5660459763365826</v>
      </c>
      <c r="K47" s="170">
        <f t="shared" si="9"/>
        <v>106.00309645714285</v>
      </c>
      <c r="L47" s="111">
        <f t="shared" si="9"/>
        <v>31.671786000000001</v>
      </c>
      <c r="M47" s="171">
        <f t="shared" si="9"/>
        <v>110.63344199170577</v>
      </c>
      <c r="N47" s="172">
        <f t="shared" si="9"/>
        <v>2.3013969748108649</v>
      </c>
    </row>
    <row r="48" spans="2:14">
      <c r="F48" s="173" t="str">
        <f>F31</f>
        <v>Zd41</v>
      </c>
      <c r="G48" s="174" t="str">
        <f>G31</f>
        <v>Disjuntor41</v>
      </c>
      <c r="H48" s="170">
        <f>H32</f>
        <v>0</v>
      </c>
      <c r="I48" s="111">
        <f>I32</f>
        <v>0.15</v>
      </c>
      <c r="J48" s="171">
        <f>J32</f>
        <v>0.15</v>
      </c>
      <c r="K48" s="170">
        <f>K32</f>
        <v>106.00309645714285</v>
      </c>
      <c r="L48" s="111">
        <f t="shared" ref="L48:M48" si="10">L32</f>
        <v>31.821785999999999</v>
      </c>
      <c r="M48" s="171">
        <f t="shared" si="10"/>
        <v>110.67647682652409</v>
      </c>
      <c r="N48" s="172">
        <f>N32</f>
        <v>2.3005021122212503</v>
      </c>
    </row>
    <row r="49" spans="2:14" ht="15.75" thickBot="1">
      <c r="F49" s="177" t="str">
        <f>F34</f>
        <v>Zcabo41</v>
      </c>
      <c r="G49" s="178" t="str">
        <f>G34</f>
        <v>Cabo Q40-Q41</v>
      </c>
      <c r="H49" s="179">
        <f t="shared" ref="H49:N49" si="11">H35</f>
        <v>56.249999999999993</v>
      </c>
      <c r="I49" s="180">
        <f t="shared" si="11"/>
        <v>1.2</v>
      </c>
      <c r="J49" s="181">
        <f t="shared" si="11"/>
        <v>56.262798543975741</v>
      </c>
      <c r="K49" s="179">
        <f t="shared" si="11"/>
        <v>162.25309645714285</v>
      </c>
      <c r="L49" s="180">
        <f t="shared" si="11"/>
        <v>33.021785999999999</v>
      </c>
      <c r="M49" s="181">
        <f t="shared" si="11"/>
        <v>165.57930323733305</v>
      </c>
      <c r="N49" s="182">
        <f t="shared" si="11"/>
        <v>1.5377010516083505</v>
      </c>
    </row>
    <row r="57" spans="2:14" ht="18.75">
      <c r="B57" s="183" t="s">
        <v>446</v>
      </c>
      <c r="F57" s="76"/>
      <c r="G57" s="76"/>
      <c r="H57" s="186" t="s">
        <v>366</v>
      </c>
      <c r="I57" s="186" t="s">
        <v>367</v>
      </c>
      <c r="J57" s="186" t="s">
        <v>368</v>
      </c>
      <c r="K57" s="186" t="s">
        <v>369</v>
      </c>
      <c r="L57" s="186" t="s">
        <v>370</v>
      </c>
      <c r="M57" s="186" t="s">
        <v>371</v>
      </c>
      <c r="N57" s="186" t="s">
        <v>547</v>
      </c>
    </row>
    <row r="58" spans="2:14">
      <c r="F58" s="76"/>
      <c r="G58" s="76"/>
      <c r="H58" s="186" t="s">
        <v>447</v>
      </c>
      <c r="I58" s="186" t="s">
        <v>447</v>
      </c>
      <c r="J58" s="186" t="s">
        <v>447</v>
      </c>
      <c r="K58" s="186" t="s">
        <v>447</v>
      </c>
      <c r="L58" s="186" t="s">
        <v>447</v>
      </c>
      <c r="M58" s="186" t="s">
        <v>447</v>
      </c>
      <c r="N58" s="186" t="s">
        <v>127</v>
      </c>
    </row>
    <row r="59" spans="2:14">
      <c r="F59" s="76" t="s">
        <v>376</v>
      </c>
      <c r="G59" s="76" t="s">
        <v>377</v>
      </c>
      <c r="H59" s="187">
        <f>0.1*I59</f>
        <v>3.5103600000000006E-2</v>
      </c>
      <c r="I59" s="187">
        <f>J59*0.995</f>
        <v>0.35103600000000001</v>
      </c>
      <c r="J59" s="187">
        <f>(D29*D30)^2/(D28*10^6)*1000</f>
        <v>0.3528</v>
      </c>
      <c r="K59" s="187">
        <f>H59</f>
        <v>3.5103600000000006E-2</v>
      </c>
      <c r="L59" s="187">
        <f>I59</f>
        <v>0.35103600000000001</v>
      </c>
      <c r="M59" s="187">
        <f>SQRT(K59^2+L59^2)</f>
        <v>0.3527868138535793</v>
      </c>
      <c r="N59" s="188">
        <f>$D$27*$D$29*$D$30/(SQRT(3)*M59)</f>
        <v>721.71481108219359</v>
      </c>
    </row>
    <row r="60" spans="2:14">
      <c r="F60" s="76" t="s">
        <v>448</v>
      </c>
      <c r="G60" s="76" t="s">
        <v>379</v>
      </c>
      <c r="H60" s="187">
        <f t="shared" ref="H60:J68" si="12">H41</f>
        <v>1.3671</v>
      </c>
      <c r="I60" s="187">
        <f t="shared" si="12"/>
        <v>4.1894999999999998</v>
      </c>
      <c r="J60" s="187">
        <f t="shared" si="12"/>
        <v>4.41</v>
      </c>
      <c r="K60" s="187">
        <f>H60+K59</f>
        <v>1.4022036</v>
      </c>
      <c r="L60" s="187">
        <f>I60+L59</f>
        <v>4.5405359999999995</v>
      </c>
      <c r="M60" s="187">
        <f t="shared" ref="M60:M68" si="13">SQRT(K60^2+L60^2)</f>
        <v>4.7521197484016486</v>
      </c>
      <c r="N60" s="188">
        <f t="shared" ref="N60:N68" si="14">$D$27*$D$29*$D$30/(SQRT(3)*M60)</f>
        <v>53.57850437128868</v>
      </c>
    </row>
    <row r="61" spans="2:14">
      <c r="B61" t="s">
        <v>449</v>
      </c>
      <c r="C61" t="s">
        <v>50</v>
      </c>
      <c r="D61">
        <v>10</v>
      </c>
      <c r="F61" s="76" t="s">
        <v>450</v>
      </c>
      <c r="G61" s="76" t="s">
        <v>384</v>
      </c>
      <c r="H61" s="187">
        <f t="shared" si="12"/>
        <v>0.18749999999999997</v>
      </c>
      <c r="I61" s="187">
        <f t="shared" si="12"/>
        <v>0.10625000000000001</v>
      </c>
      <c r="J61" s="187">
        <f t="shared" si="12"/>
        <v>0.21551174561958331</v>
      </c>
      <c r="K61" s="187">
        <f t="shared" ref="K61:L68" si="15">H61+K60</f>
        <v>1.5897036</v>
      </c>
      <c r="L61" s="187">
        <f t="shared" si="15"/>
        <v>4.6467859999999996</v>
      </c>
      <c r="M61" s="187">
        <f t="shared" si="13"/>
        <v>4.911189027684534</v>
      </c>
      <c r="N61" s="188">
        <f t="shared" si="14"/>
        <v>51.843141707104273</v>
      </c>
    </row>
    <row r="62" spans="2:14">
      <c r="B62" t="s">
        <v>451</v>
      </c>
      <c r="C62" t="s">
        <v>99</v>
      </c>
      <c r="D62">
        <v>25</v>
      </c>
      <c r="F62" s="76" t="s">
        <v>388</v>
      </c>
      <c r="G62" s="76" t="s">
        <v>389</v>
      </c>
      <c r="H62" s="187">
        <f t="shared" si="12"/>
        <v>0</v>
      </c>
      <c r="I62" s="187">
        <f t="shared" si="12"/>
        <v>7.4999999999999997E-2</v>
      </c>
      <c r="J62" s="187">
        <f t="shared" si="12"/>
        <v>7.4999999999999997E-2</v>
      </c>
      <c r="K62" s="187">
        <f t="shared" si="15"/>
        <v>1.5897036</v>
      </c>
      <c r="L62" s="187">
        <f t="shared" si="15"/>
        <v>4.7217859999999998</v>
      </c>
      <c r="M62" s="187">
        <f t="shared" si="13"/>
        <v>4.9822104096122795</v>
      </c>
      <c r="N62" s="188">
        <f t="shared" si="14"/>
        <v>51.104118007821974</v>
      </c>
    </row>
    <row r="63" spans="2:14">
      <c r="B63" t="s">
        <v>452</v>
      </c>
      <c r="C63" t="s">
        <v>1</v>
      </c>
      <c r="D63">
        <v>4</v>
      </c>
      <c r="F63" s="76" t="s">
        <v>423</v>
      </c>
      <c r="G63" s="76" t="s">
        <v>424</v>
      </c>
      <c r="H63" s="187">
        <f t="shared" si="12"/>
        <v>5.6249999999999994E-2</v>
      </c>
      <c r="I63" s="187">
        <f t="shared" si="12"/>
        <v>0.75</v>
      </c>
      <c r="J63" s="187">
        <f t="shared" si="12"/>
        <v>0.75210641700493419</v>
      </c>
      <c r="K63" s="187">
        <f t="shared" si="15"/>
        <v>1.6459535999999999</v>
      </c>
      <c r="L63" s="187">
        <f t="shared" si="15"/>
        <v>5.4717859999999998</v>
      </c>
      <c r="M63" s="187">
        <f t="shared" si="13"/>
        <v>5.7139833114167349</v>
      </c>
      <c r="N63" s="188">
        <f t="shared" si="14"/>
        <v>44.559365128683964</v>
      </c>
    </row>
    <row r="64" spans="2:14">
      <c r="B64" t="s">
        <v>453</v>
      </c>
      <c r="C64" t="s">
        <v>39</v>
      </c>
      <c r="D64">
        <v>100</v>
      </c>
      <c r="F64" s="76" t="s">
        <v>454</v>
      </c>
      <c r="G64" s="76" t="s">
        <v>455</v>
      </c>
      <c r="H64" s="187">
        <f t="shared" si="12"/>
        <v>0</v>
      </c>
      <c r="I64" s="187">
        <v>0.15</v>
      </c>
      <c r="J64" s="187">
        <f t="shared" si="12"/>
        <v>0.15</v>
      </c>
      <c r="K64" s="187">
        <f t="shared" si="15"/>
        <v>1.6459535999999999</v>
      </c>
      <c r="L64" s="187">
        <f t="shared" si="15"/>
        <v>5.6217860000000002</v>
      </c>
      <c r="M64" s="187">
        <f t="shared" si="13"/>
        <v>5.8577846566043181</v>
      </c>
      <c r="N64" s="188">
        <f t="shared" si="14"/>
        <v>43.465488002459274</v>
      </c>
    </row>
    <row r="65" spans="2:14">
      <c r="B65" t="s">
        <v>456</v>
      </c>
      <c r="C65" t="s">
        <v>50</v>
      </c>
      <c r="D65">
        <v>4</v>
      </c>
      <c r="F65" s="76" t="s">
        <v>457</v>
      </c>
      <c r="G65" s="76" t="s">
        <v>458</v>
      </c>
      <c r="H65" s="187">
        <f>D33*D61/D62*1000</f>
        <v>9</v>
      </c>
      <c r="I65" s="187">
        <f>0.08*D61</f>
        <v>0.8</v>
      </c>
      <c r="J65" s="187">
        <f>SQRT(H65^2+I65^2)</f>
        <v>9.0354855984612144</v>
      </c>
      <c r="K65" s="187">
        <f t="shared" si="15"/>
        <v>10.6459536</v>
      </c>
      <c r="L65" s="187">
        <f t="shared" si="15"/>
        <v>6.421786</v>
      </c>
      <c r="M65" s="187">
        <f t="shared" si="13"/>
        <v>12.432846153763384</v>
      </c>
      <c r="N65" s="188">
        <f t="shared" si="14"/>
        <v>20.478936646019292</v>
      </c>
    </row>
    <row r="66" spans="2:14">
      <c r="B66" t="s">
        <v>459</v>
      </c>
      <c r="C66" t="s">
        <v>99</v>
      </c>
      <c r="D66">
        <f>12*2</f>
        <v>24</v>
      </c>
      <c r="F66" s="76" t="s">
        <v>460</v>
      </c>
      <c r="G66" s="76" t="s">
        <v>461</v>
      </c>
      <c r="H66" s="187">
        <f>0.31*J66</f>
        <v>21.8736</v>
      </c>
      <c r="I66" s="187">
        <f>0.95*J66</f>
        <v>67.031999999999996</v>
      </c>
      <c r="J66" s="187">
        <f>(D29*D30)^2*D63/100/100</f>
        <v>70.56</v>
      </c>
      <c r="K66" s="187">
        <f t="shared" si="15"/>
        <v>32.519553600000002</v>
      </c>
      <c r="L66" s="187">
        <f t="shared" si="15"/>
        <v>73.453785999999994</v>
      </c>
      <c r="M66" s="187">
        <f t="shared" si="13"/>
        <v>80.330442822612824</v>
      </c>
      <c r="N66" s="188">
        <f t="shared" si="14"/>
        <v>3.1695514149581214</v>
      </c>
    </row>
    <row r="67" spans="2:14">
      <c r="F67" s="76" t="s">
        <v>462</v>
      </c>
      <c r="G67" s="76" t="s">
        <v>463</v>
      </c>
      <c r="H67" s="187">
        <f t="shared" si="12"/>
        <v>0</v>
      </c>
      <c r="I67" s="187">
        <f t="shared" si="12"/>
        <v>0.15</v>
      </c>
      <c r="J67" s="187">
        <f t="shared" si="12"/>
        <v>0.15</v>
      </c>
      <c r="K67" s="187">
        <f t="shared" si="15"/>
        <v>32.519553600000002</v>
      </c>
      <c r="L67" s="187">
        <f t="shared" si="15"/>
        <v>73.603785999999999</v>
      </c>
      <c r="M67" s="187">
        <f t="shared" si="13"/>
        <v>80.467625041858099</v>
      </c>
      <c r="N67" s="188">
        <f t="shared" si="14"/>
        <v>3.1641479238411692</v>
      </c>
    </row>
    <row r="68" spans="2:14">
      <c r="F68" s="76" t="s">
        <v>464</v>
      </c>
      <c r="G68" s="76" t="s">
        <v>465</v>
      </c>
      <c r="H68" s="187">
        <f>D33*D65/D66*1000</f>
        <v>3.75</v>
      </c>
      <c r="I68" s="187">
        <f>0.085*D65</f>
        <v>0.34</v>
      </c>
      <c r="J68" s="187">
        <f t="shared" si="12"/>
        <v>56.262798543975741</v>
      </c>
      <c r="K68" s="187">
        <f t="shared" si="15"/>
        <v>36.269553600000002</v>
      </c>
      <c r="L68" s="187">
        <f t="shared" si="15"/>
        <v>73.943786000000003</v>
      </c>
      <c r="M68" s="187">
        <f t="shared" si="13"/>
        <v>82.359966041500229</v>
      </c>
      <c r="N68" s="188">
        <f t="shared" si="14"/>
        <v>3.0914469851083863</v>
      </c>
    </row>
  </sheetData>
  <pageMargins left="0.7" right="0.7" top="0.75" bottom="0.75" header="0.3" footer="0.3"/>
  <pageSetup paperSize="9" orientation="portrait" r:id="rId1"/>
  <drawing r:id="rId2"/>
  <legacyDrawing r:id="rId3"/>
  <oleObjects>
    <oleObject progId="Equation.3" shapeId="7170" r:id="rId4"/>
    <oleObject progId="Equation.3" shapeId="7171" r:id="rId5"/>
    <oleObject progId="Equation.3" shapeId="7172" r:id="rId6"/>
  </oleObject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00"/>
  <sheetViews>
    <sheetView topLeftCell="A68" zoomScaleNormal="100" workbookViewId="0">
      <selection activeCell="E75" sqref="E75"/>
    </sheetView>
  </sheetViews>
  <sheetFormatPr defaultColWidth="9.140625" defaultRowHeight="12.75"/>
  <cols>
    <col min="1" max="1" width="9.140625" style="18"/>
    <col min="2" max="2" width="7.28515625" style="19" customWidth="1"/>
    <col min="3" max="3" width="48.7109375" style="18" bestFit="1" customWidth="1"/>
    <col min="4" max="4" width="9.140625" style="20"/>
    <col min="5" max="5" width="18.85546875" style="21" customWidth="1"/>
    <col min="6" max="7" width="18.85546875" style="18" customWidth="1"/>
    <col min="8" max="8" width="13.28515625" style="18" bestFit="1" customWidth="1"/>
    <col min="9" max="16384" width="9.140625" style="18"/>
  </cols>
  <sheetData>
    <row r="1" spans="1:5" s="15" customFormat="1" ht="18">
      <c r="A1" s="15" t="s">
        <v>34</v>
      </c>
      <c r="D1" s="16"/>
      <c r="E1" s="17"/>
    </row>
    <row r="4" spans="1:5">
      <c r="B4" s="24" t="s">
        <v>37</v>
      </c>
      <c r="C4" s="25"/>
      <c r="D4" s="26"/>
      <c r="E4" s="27"/>
    </row>
    <row r="5" spans="1:5">
      <c r="B5" s="24"/>
      <c r="C5" s="25" t="s">
        <v>205</v>
      </c>
      <c r="D5" s="26" t="s">
        <v>0</v>
      </c>
      <c r="E5" s="30">
        <v>15</v>
      </c>
    </row>
    <row r="6" spans="1:5">
      <c r="B6" s="24"/>
      <c r="C6" s="25" t="s">
        <v>570</v>
      </c>
      <c r="D6" s="26" t="s">
        <v>1</v>
      </c>
      <c r="E6" s="30">
        <v>87</v>
      </c>
    </row>
    <row r="7" spans="1:5">
      <c r="B7" s="24"/>
      <c r="C7" s="25" t="s">
        <v>40</v>
      </c>
      <c r="D7" s="26" t="s">
        <v>3</v>
      </c>
      <c r="E7" s="30">
        <v>0.89</v>
      </c>
    </row>
    <row r="8" spans="1:5">
      <c r="B8" s="24" t="s">
        <v>46</v>
      </c>
      <c r="C8" s="25"/>
      <c r="D8" s="26"/>
      <c r="E8" s="27"/>
    </row>
    <row r="9" spans="1:5">
      <c r="B9" s="24"/>
      <c r="C9" s="25" t="s">
        <v>47</v>
      </c>
      <c r="D9" s="26" t="s">
        <v>11</v>
      </c>
      <c r="E9" s="30">
        <v>400</v>
      </c>
    </row>
    <row r="10" spans="1:5">
      <c r="B10" s="24"/>
      <c r="C10" s="25" t="s">
        <v>49</v>
      </c>
      <c r="D10" s="26" t="s">
        <v>50</v>
      </c>
      <c r="E10" s="30">
        <v>200</v>
      </c>
    </row>
    <row r="11" spans="1:5">
      <c r="B11" s="24"/>
      <c r="C11" s="25" t="s">
        <v>55</v>
      </c>
      <c r="D11" s="26" t="s">
        <v>1</v>
      </c>
      <c r="E11" s="30">
        <v>4.2450000000000001</v>
      </c>
    </row>
    <row r="12" spans="1:5">
      <c r="B12" s="24"/>
      <c r="C12" s="25" t="s">
        <v>57</v>
      </c>
      <c r="D12" s="26" t="s">
        <v>39</v>
      </c>
      <c r="E12" s="34">
        <v>2000</v>
      </c>
    </row>
    <row r="13" spans="1:5">
      <c r="B13" s="24"/>
      <c r="C13" s="25" t="s">
        <v>207</v>
      </c>
      <c r="D13" s="26" t="s">
        <v>127</v>
      </c>
      <c r="E13" s="29">
        <f>E12/SQRT(3)/E9/E11*100</f>
        <v>68.003565275574289</v>
      </c>
    </row>
    <row r="14" spans="1:5">
      <c r="B14" s="24"/>
      <c r="C14" s="25" t="s">
        <v>61</v>
      </c>
      <c r="D14" s="26" t="s">
        <v>3</v>
      </c>
      <c r="E14" s="29">
        <v>1</v>
      </c>
    </row>
    <row r="15" spans="1:5">
      <c r="B15" s="24"/>
      <c r="C15" s="25" t="s">
        <v>63</v>
      </c>
      <c r="D15" s="26" t="s">
        <v>3</v>
      </c>
      <c r="E15" s="29">
        <v>1.05</v>
      </c>
    </row>
    <row r="16" spans="1:5">
      <c r="B16" s="24"/>
      <c r="C16" s="25" t="s">
        <v>65</v>
      </c>
      <c r="D16" s="26"/>
      <c r="E16" s="29">
        <v>0.95</v>
      </c>
    </row>
    <row r="17" spans="2:6">
      <c r="B17" s="24"/>
      <c r="C17" s="25" t="s">
        <v>66</v>
      </c>
      <c r="D17" s="26" t="s">
        <v>3</v>
      </c>
      <c r="E17" s="29">
        <v>1.05</v>
      </c>
    </row>
    <row r="18" spans="2:6">
      <c r="B18" s="24"/>
      <c r="C18" s="25" t="s">
        <v>68</v>
      </c>
      <c r="D18" s="26" t="s">
        <v>3</v>
      </c>
      <c r="E18" s="30" t="s">
        <v>69</v>
      </c>
    </row>
    <row r="19" spans="2:6">
      <c r="B19" s="24" t="s">
        <v>70</v>
      </c>
      <c r="C19" s="25"/>
      <c r="D19" s="26"/>
      <c r="E19" s="27"/>
    </row>
    <row r="20" spans="2:6">
      <c r="B20" s="24"/>
      <c r="C20" s="25" t="s">
        <v>72</v>
      </c>
      <c r="D20" s="26" t="s">
        <v>3</v>
      </c>
      <c r="E20" s="30" t="s">
        <v>466</v>
      </c>
    </row>
    <row r="21" spans="2:6">
      <c r="B21" s="24"/>
      <c r="C21" s="25" t="s">
        <v>75</v>
      </c>
      <c r="D21" s="26" t="s">
        <v>3</v>
      </c>
      <c r="E21" s="30" t="s">
        <v>76</v>
      </c>
    </row>
    <row r="22" spans="2:6">
      <c r="B22" s="24"/>
      <c r="C22" s="25" t="s">
        <v>77</v>
      </c>
      <c r="D22" s="37" t="s">
        <v>78</v>
      </c>
      <c r="E22" s="30">
        <v>1.7240999999999999E-2</v>
      </c>
      <c r="F22" s="18" t="s">
        <v>79</v>
      </c>
    </row>
    <row r="23" spans="2:6">
      <c r="B23" s="24"/>
      <c r="C23" s="25" t="s">
        <v>80</v>
      </c>
      <c r="D23" s="38" t="s">
        <v>81</v>
      </c>
      <c r="E23" s="30">
        <v>3.9300000000000003E-3</v>
      </c>
      <c r="F23" s="18" t="s">
        <v>79</v>
      </c>
    </row>
    <row r="24" spans="2:6">
      <c r="B24" s="24"/>
      <c r="C24" s="25" t="s">
        <v>82</v>
      </c>
      <c r="D24" s="38" t="s">
        <v>83</v>
      </c>
      <c r="E24" s="30">
        <v>90</v>
      </c>
      <c r="F24" s="39" t="s">
        <v>84</v>
      </c>
    </row>
    <row r="25" spans="2:6">
      <c r="B25" s="24"/>
      <c r="C25" s="25" t="s">
        <v>85</v>
      </c>
      <c r="D25" s="26" t="s">
        <v>3</v>
      </c>
      <c r="E25" s="40" t="s">
        <v>86</v>
      </c>
      <c r="F25" s="18" t="s">
        <v>87</v>
      </c>
    </row>
    <row r="26" spans="2:6">
      <c r="B26" s="24"/>
      <c r="C26" s="25" t="s">
        <v>88</v>
      </c>
      <c r="D26" s="26" t="s">
        <v>3</v>
      </c>
      <c r="E26" s="30">
        <v>143</v>
      </c>
      <c r="F26" s="18" t="s">
        <v>89</v>
      </c>
    </row>
    <row r="27" spans="2:6">
      <c r="B27" s="24"/>
      <c r="C27" s="25" t="s">
        <v>90</v>
      </c>
      <c r="D27" s="26" t="s">
        <v>91</v>
      </c>
      <c r="E27" s="30">
        <v>0.08</v>
      </c>
    </row>
    <row r="28" spans="2:6">
      <c r="B28" s="24"/>
      <c r="C28" s="25" t="s">
        <v>92</v>
      </c>
      <c r="D28" s="26" t="s">
        <v>3</v>
      </c>
      <c r="E28" s="30" t="s">
        <v>467</v>
      </c>
    </row>
    <row r="29" spans="2:6">
      <c r="B29" s="24"/>
      <c r="C29" s="25" t="s">
        <v>94</v>
      </c>
      <c r="D29" s="26" t="s">
        <v>3</v>
      </c>
      <c r="E29" s="40" t="s">
        <v>468</v>
      </c>
    </row>
    <row r="30" spans="2:6">
      <c r="B30" s="24"/>
      <c r="C30" s="25" t="s">
        <v>97</v>
      </c>
      <c r="D30" s="26" t="s">
        <v>3</v>
      </c>
      <c r="E30" s="30" t="s">
        <v>3</v>
      </c>
    </row>
    <row r="31" spans="2:6">
      <c r="B31" s="24"/>
      <c r="C31" s="25" t="s">
        <v>98</v>
      </c>
      <c r="D31" s="26" t="s">
        <v>99</v>
      </c>
      <c r="E31" s="30" t="s">
        <v>100</v>
      </c>
    </row>
    <row r="32" spans="2:6">
      <c r="B32" s="24"/>
      <c r="C32" s="25" t="s">
        <v>101</v>
      </c>
      <c r="D32" s="26" t="s">
        <v>3</v>
      </c>
      <c r="E32" s="30">
        <v>5</v>
      </c>
    </row>
    <row r="33" spans="2:8">
      <c r="B33" s="24" t="s">
        <v>102</v>
      </c>
      <c r="C33" s="25"/>
      <c r="D33" s="26"/>
      <c r="E33" s="27"/>
    </row>
    <row r="34" spans="2:8">
      <c r="B34" s="24"/>
      <c r="C34" s="25" t="s">
        <v>103</v>
      </c>
      <c r="D34" s="26" t="s">
        <v>83</v>
      </c>
      <c r="E34" s="30">
        <v>45</v>
      </c>
    </row>
    <row r="35" spans="2:8">
      <c r="B35" s="24"/>
      <c r="C35" s="25" t="s">
        <v>104</v>
      </c>
      <c r="D35" s="26" t="s">
        <v>83</v>
      </c>
      <c r="E35" s="30" t="s">
        <v>3</v>
      </c>
    </row>
    <row r="36" spans="2:8">
      <c r="B36" s="24"/>
      <c r="C36" s="25" t="s">
        <v>105</v>
      </c>
      <c r="D36" s="26" t="s">
        <v>106</v>
      </c>
      <c r="E36" s="30" t="s">
        <v>3</v>
      </c>
    </row>
    <row r="38" spans="2:8">
      <c r="B38" s="19" t="s">
        <v>22</v>
      </c>
      <c r="C38" s="18" t="s">
        <v>107</v>
      </c>
      <c r="D38" s="20" t="s">
        <v>9</v>
      </c>
      <c r="E38" s="41">
        <f>E5*E6/100/E7/SQRT(3)/E9*1000</f>
        <v>21.164103968889375</v>
      </c>
      <c r="H38" s="19"/>
    </row>
    <row r="39" spans="2:8">
      <c r="C39" s="18" t="s">
        <v>108</v>
      </c>
      <c r="D39" s="20" t="s">
        <v>3</v>
      </c>
      <c r="E39" s="42" t="s">
        <v>469</v>
      </c>
      <c r="F39" s="18" t="s">
        <v>109</v>
      </c>
    </row>
    <row r="40" spans="2:8">
      <c r="C40" s="18" t="s">
        <v>110</v>
      </c>
      <c r="D40" s="20" t="s">
        <v>3</v>
      </c>
      <c r="E40" s="43" t="s">
        <v>270</v>
      </c>
      <c r="F40" s="18" t="s">
        <v>109</v>
      </c>
    </row>
    <row r="42" spans="2:8">
      <c r="B42" s="19" t="s">
        <v>112</v>
      </c>
    </row>
    <row r="43" spans="2:8">
      <c r="C43" s="39" t="s">
        <v>470</v>
      </c>
      <c r="D43" s="20" t="s">
        <v>3</v>
      </c>
      <c r="E43" s="44">
        <v>0.87</v>
      </c>
      <c r="F43" s="39" t="s">
        <v>273</v>
      </c>
    </row>
    <row r="44" spans="2:8">
      <c r="C44" s="39" t="s">
        <v>115</v>
      </c>
      <c r="D44" s="20" t="s">
        <v>3</v>
      </c>
      <c r="E44" s="44">
        <v>0.66</v>
      </c>
      <c r="F44" s="39" t="s">
        <v>279</v>
      </c>
    </row>
    <row r="45" spans="2:8">
      <c r="C45" s="18" t="s">
        <v>117</v>
      </c>
      <c r="D45" s="20" t="s">
        <v>3</v>
      </c>
      <c r="E45" s="45">
        <f>E43*E44</f>
        <v>0.57420000000000004</v>
      </c>
    </row>
    <row r="46" spans="2:8">
      <c r="B46" s="19" t="s">
        <v>118</v>
      </c>
      <c r="E46" s="41"/>
    </row>
    <row r="47" spans="2:8">
      <c r="C47" s="18" t="s">
        <v>119</v>
      </c>
      <c r="D47" s="20" t="s">
        <v>9</v>
      </c>
      <c r="E47" s="42">
        <v>25</v>
      </c>
    </row>
    <row r="48" spans="2:8">
      <c r="C48" s="18" t="s">
        <v>120</v>
      </c>
      <c r="D48" s="20" t="s">
        <v>9</v>
      </c>
      <c r="E48" s="46">
        <v>24.5</v>
      </c>
    </row>
    <row r="49" spans="2:8">
      <c r="C49" s="18" t="s">
        <v>122</v>
      </c>
      <c r="D49" s="20" t="s">
        <v>9</v>
      </c>
      <c r="E49" s="47">
        <f>12*E47</f>
        <v>300</v>
      </c>
    </row>
    <row r="50" spans="2:8">
      <c r="C50" s="39" t="s">
        <v>123</v>
      </c>
      <c r="D50" s="48" t="s">
        <v>3</v>
      </c>
      <c r="E50" s="49">
        <v>1.3</v>
      </c>
      <c r="F50" s="39" t="s">
        <v>124</v>
      </c>
    </row>
    <row r="51" spans="2:8">
      <c r="C51" s="18" t="s">
        <v>125</v>
      </c>
      <c r="D51" s="20" t="s">
        <v>9</v>
      </c>
      <c r="E51" s="41">
        <f>E50*E48</f>
        <v>31.85</v>
      </c>
    </row>
    <row r="52" spans="2:8">
      <c r="C52" s="18" t="s">
        <v>126</v>
      </c>
      <c r="D52" s="20" t="s">
        <v>127</v>
      </c>
      <c r="E52" s="46">
        <v>70</v>
      </c>
      <c r="F52" s="39" t="s">
        <v>128</v>
      </c>
    </row>
    <row r="53" spans="2:8">
      <c r="C53" s="18" t="s">
        <v>129</v>
      </c>
      <c r="D53" s="20" t="s">
        <v>3</v>
      </c>
      <c r="E53" s="44" t="s">
        <v>3</v>
      </c>
    </row>
    <row r="54" spans="2:8">
      <c r="E54" s="50"/>
    </row>
    <row r="55" spans="2:8">
      <c r="E55" s="51" t="s">
        <v>130</v>
      </c>
      <c r="F55" s="51" t="s">
        <v>471</v>
      </c>
      <c r="G55" s="51" t="s">
        <v>472</v>
      </c>
    </row>
    <row r="56" spans="2:8">
      <c r="B56" s="19" t="s">
        <v>131</v>
      </c>
      <c r="F56" s="21"/>
    </row>
    <row r="57" spans="2:8">
      <c r="C57" s="39" t="s">
        <v>132</v>
      </c>
      <c r="D57" s="20" t="s">
        <v>9</v>
      </c>
      <c r="E57" s="52">
        <f>$E$48/$E$45</f>
        <v>42.668059909439215</v>
      </c>
      <c r="F57" s="52">
        <f>$E$57</f>
        <v>42.668059909439215</v>
      </c>
      <c r="G57" s="52">
        <f>$E$57</f>
        <v>42.668059909439215</v>
      </c>
    </row>
    <row r="58" spans="2:8">
      <c r="C58" s="19" t="s">
        <v>133</v>
      </c>
      <c r="D58" s="53" t="s">
        <v>99</v>
      </c>
      <c r="E58" s="54">
        <v>6</v>
      </c>
      <c r="F58" s="54">
        <v>10</v>
      </c>
      <c r="G58" s="54">
        <v>16</v>
      </c>
      <c r="H58" s="39" t="s">
        <v>473</v>
      </c>
    </row>
    <row r="59" spans="2:8">
      <c r="C59" s="18" t="s">
        <v>136</v>
      </c>
      <c r="D59" s="20" t="s">
        <v>99</v>
      </c>
      <c r="E59" s="56">
        <f>E58</f>
        <v>6</v>
      </c>
      <c r="F59" s="56">
        <f>F58</f>
        <v>10</v>
      </c>
      <c r="G59" s="56">
        <f>G58</f>
        <v>16</v>
      </c>
      <c r="H59" s="18" t="s">
        <v>137</v>
      </c>
    </row>
    <row r="60" spans="2:8">
      <c r="C60" s="18" t="s">
        <v>138</v>
      </c>
      <c r="D60" s="20" t="s">
        <v>9</v>
      </c>
      <c r="E60" s="56">
        <v>52</v>
      </c>
      <c r="F60" s="56">
        <v>52</v>
      </c>
      <c r="G60" s="56">
        <v>96</v>
      </c>
      <c r="H60" s="18" t="str">
        <f>H58</f>
        <v>Quadro 52-C4</v>
      </c>
    </row>
    <row r="61" spans="2:8">
      <c r="C61" s="18" t="s">
        <v>139</v>
      </c>
      <c r="D61" s="20" t="s">
        <v>9</v>
      </c>
      <c r="E61" s="41">
        <f>E60*$E$45</f>
        <v>29.858400000000003</v>
      </c>
      <c r="F61" s="41">
        <v>71</v>
      </c>
      <c r="G61" s="41">
        <f>G60*$E$45</f>
        <v>55.123200000000004</v>
      </c>
    </row>
    <row r="62" spans="2:8">
      <c r="C62" s="18" t="s">
        <v>140</v>
      </c>
      <c r="D62" s="20" t="s">
        <v>9</v>
      </c>
      <c r="E62" s="41">
        <f>1.45*E61</f>
        <v>43.294680000000007</v>
      </c>
      <c r="F62" s="41">
        <f>1.45*F61</f>
        <v>102.95</v>
      </c>
      <c r="G62" s="41">
        <f>1.45*G61</f>
        <v>79.928640000000001</v>
      </c>
    </row>
    <row r="63" spans="2:8">
      <c r="B63" s="19" t="s">
        <v>141</v>
      </c>
      <c r="F63" s="21"/>
      <c r="G63" s="21"/>
    </row>
    <row r="64" spans="2:8">
      <c r="C64" s="18" t="s">
        <v>142</v>
      </c>
      <c r="D64" s="20" t="s">
        <v>143</v>
      </c>
      <c r="E64" s="21" t="str">
        <f>IF($E$38&lt;=$E$48,"OK!","!!!!!!!!!")</f>
        <v>OK!</v>
      </c>
      <c r="F64" s="21" t="str">
        <f>IF($E$38&lt;=$E$48,"OK!","!!!!!!!!!")</f>
        <v>OK!</v>
      </c>
      <c r="G64" s="21" t="str">
        <f>IF($E$38&lt;=$E$48,"OK!","!!!!!!!!!")</f>
        <v>OK!</v>
      </c>
    </row>
    <row r="65" spans="2:8">
      <c r="C65" s="18" t="s">
        <v>144</v>
      </c>
      <c r="D65" s="20" t="s">
        <v>143</v>
      </c>
      <c r="E65" s="21" t="str">
        <f>IF($E$48&lt;=E61,"OK!","!!!!!!!!!")</f>
        <v>OK!</v>
      </c>
      <c r="F65" s="21" t="str">
        <f>IF($E$48&lt;=F61,"OK!","!!!!!!!!!")</f>
        <v>OK!</v>
      </c>
      <c r="G65" s="21" t="str">
        <f>IF($E$48&lt;=G61,"OK!","!!!!!!!!!")</f>
        <v>OK!</v>
      </c>
    </row>
    <row r="66" spans="2:8">
      <c r="C66" s="18" t="s">
        <v>145</v>
      </c>
      <c r="D66" s="20" t="s">
        <v>143</v>
      </c>
      <c r="E66" s="21" t="str">
        <f>IF($E$51&lt;=E62,"OK!","!!!!!!!!!")</f>
        <v>OK!</v>
      </c>
      <c r="F66" s="21" t="str">
        <f>IF($E$51&lt;=F62,"OK!","!!!!!!!!!")</f>
        <v>OK!</v>
      </c>
      <c r="G66" s="21" t="str">
        <f>IF($E$51&lt;=G62,"OK!","!!!!!!!!!")</f>
        <v>OK!</v>
      </c>
    </row>
    <row r="67" spans="2:8">
      <c r="B67" s="19" t="s">
        <v>146</v>
      </c>
      <c r="F67" s="21"/>
      <c r="G67" s="21"/>
    </row>
    <row r="68" spans="2:8" s="58" customFormat="1">
      <c r="B68" s="57"/>
      <c r="C68" s="58" t="s">
        <v>147</v>
      </c>
      <c r="D68" s="59" t="s">
        <v>78</v>
      </c>
      <c r="E68" s="60">
        <f>$E$22*(1+$E$23*($E$24-20))</f>
        <v>2.1983999100000002E-2</v>
      </c>
      <c r="F68" s="60">
        <f>$E$22*(1+$E$23*($E$24-20))</f>
        <v>2.1983999100000002E-2</v>
      </c>
      <c r="G68" s="60">
        <f>$E$22*(1+$E$23*($E$24-20))</f>
        <v>2.1983999100000002E-2</v>
      </c>
    </row>
    <row r="69" spans="2:8">
      <c r="C69" s="61" t="s">
        <v>148</v>
      </c>
      <c r="D69" s="20" t="s">
        <v>1</v>
      </c>
      <c r="E69" s="62">
        <v>0.05</v>
      </c>
      <c r="F69" s="62">
        <v>0.05</v>
      </c>
      <c r="G69" s="62">
        <v>0.05</v>
      </c>
      <c r="H69" s="18" t="s">
        <v>149</v>
      </c>
    </row>
    <row r="70" spans="2:8">
      <c r="C70" s="18" t="s">
        <v>150</v>
      </c>
      <c r="D70" s="20" t="s">
        <v>11</v>
      </c>
      <c r="E70" s="41">
        <f>(E68*$E$10/E58*$E$7+0.08/1000*$E$10*SIN(ACOS($E$7)))*$E$38</f>
        <v>13.957458665772235</v>
      </c>
      <c r="F70" s="41">
        <f>(F68*$E$10/F58*$E$7+0.08/1000*$E$10*SIN(ACOS($E$7)))*$E$38</f>
        <v>8.4362351735337047</v>
      </c>
      <c r="G70" s="41">
        <f>(G68*$E$10/G58*$E$7+0.08/1000*$E$10*SIN(ACOS($E$7)))*$E$38</f>
        <v>5.3305469591495322</v>
      </c>
    </row>
    <row r="71" spans="2:8" ht="15">
      <c r="C71" s="61" t="s">
        <v>151</v>
      </c>
      <c r="D71" s="20" t="s">
        <v>1</v>
      </c>
      <c r="E71" s="63">
        <f>E70*SQRT(3)/$E$9</f>
        <v>6.0437568884150056E-2</v>
      </c>
      <c r="F71" s="63">
        <f>F70*SQRT(3)/$E$9</f>
        <v>3.6529969862900052E-2</v>
      </c>
      <c r="G71" s="63">
        <f>G70*SQRT(3)/$E$9</f>
        <v>2.3081945413446926E-2</v>
      </c>
    </row>
    <row r="72" spans="2:8">
      <c r="C72" s="18" t="s">
        <v>152</v>
      </c>
      <c r="D72" s="20" t="s">
        <v>143</v>
      </c>
      <c r="E72" s="21" t="str">
        <f>IF(E71&lt;=E69,"OK!","!!!!!!!!!")</f>
        <v>!!!!!!!!!</v>
      </c>
      <c r="F72" s="21" t="str">
        <f>IF(F71&lt;=F69,"OK!","!!!!!!!!!")</f>
        <v>OK!</v>
      </c>
      <c r="G72" s="21" t="str">
        <f>IF(G71&lt;=G69,"OK!","!!!!!!!!!")</f>
        <v>OK!</v>
      </c>
    </row>
    <row r="73" spans="2:8">
      <c r="B73" s="19" t="s">
        <v>153</v>
      </c>
      <c r="F73" s="21"/>
      <c r="G73" s="21"/>
    </row>
    <row r="74" spans="2:8">
      <c r="C74" s="18" t="s">
        <v>154</v>
      </c>
      <c r="D74" s="64" t="s">
        <v>155</v>
      </c>
      <c r="E74" s="45">
        <f>$E$15*$E$17*$E$9/SQRT(3)/$E$13</f>
        <v>3.7440900000000004</v>
      </c>
      <c r="F74" s="45">
        <f>$E$15*$E$17*$E$9/SQRT(3)/$E$13</f>
        <v>3.7440900000000004</v>
      </c>
      <c r="G74" s="45">
        <f>$E$15*$E$17*$E$9/SQRT(3)/$E$13</f>
        <v>3.7440900000000004</v>
      </c>
    </row>
    <row r="75" spans="2:8">
      <c r="C75" s="18" t="s">
        <v>230</v>
      </c>
      <c r="D75" s="64" t="s">
        <v>155</v>
      </c>
      <c r="E75" s="191">
        <f>E76*0.1</f>
        <v>0.37253695500000006</v>
      </c>
      <c r="F75" s="191">
        <f t="shared" ref="F75:G75" si="0">F76*0.1</f>
        <v>0.37253695500000006</v>
      </c>
      <c r="G75" s="191">
        <f t="shared" si="0"/>
        <v>0.37253695500000006</v>
      </c>
    </row>
    <row r="76" spans="2:8">
      <c r="C76" s="18" t="s">
        <v>231</v>
      </c>
      <c r="D76" s="64" t="s">
        <v>155</v>
      </c>
      <c r="E76" s="191">
        <f>0.995*E74</f>
        <v>3.7253695500000004</v>
      </c>
      <c r="F76" s="191">
        <f t="shared" ref="F76:G76" si="1">0.995*F74</f>
        <v>3.7253695500000004</v>
      </c>
      <c r="G76" s="191">
        <f t="shared" si="1"/>
        <v>3.7253695500000004</v>
      </c>
    </row>
    <row r="77" spans="2:8">
      <c r="C77" s="18" t="s">
        <v>158</v>
      </c>
      <c r="D77" s="64" t="s">
        <v>155</v>
      </c>
      <c r="E77" s="65">
        <f>E68*$E$10*(1/E58+1/E59)*1000</f>
        <v>1465.5999399999998</v>
      </c>
      <c r="F77" s="65">
        <f t="shared" ref="F77:G77" si="2">F68*$E$10*(1/F58+1/F59)*1000</f>
        <v>879.3599640000001</v>
      </c>
      <c r="G77" s="65">
        <f t="shared" si="2"/>
        <v>549.59997750000002</v>
      </c>
    </row>
    <row r="78" spans="2:8">
      <c r="C78" s="18" t="s">
        <v>159</v>
      </c>
      <c r="D78" s="64" t="s">
        <v>155</v>
      </c>
      <c r="E78" s="65">
        <f>E68*$E$10*2/E58*1000</f>
        <v>1465.5999399999998</v>
      </c>
      <c r="F78" s="65">
        <f t="shared" ref="F78:G78" si="3">F68*$E$10*2/F58*1000</f>
        <v>879.3599640000001</v>
      </c>
      <c r="G78" s="65">
        <f t="shared" si="3"/>
        <v>549.59997750000002</v>
      </c>
    </row>
    <row r="79" spans="2:8">
      <c r="C79" s="18" t="s">
        <v>219</v>
      </c>
      <c r="D79" s="64" t="s">
        <v>155</v>
      </c>
      <c r="E79" s="45">
        <f>2*$E$27*$E$10</f>
        <v>32</v>
      </c>
      <c r="F79" s="45">
        <f t="shared" ref="F79:G79" si="4">2*$E$27*$E$10</f>
        <v>32</v>
      </c>
      <c r="G79" s="45">
        <f t="shared" si="4"/>
        <v>32</v>
      </c>
    </row>
    <row r="80" spans="2:8">
      <c r="C80" s="18" t="s">
        <v>163</v>
      </c>
      <c r="D80" s="64" t="s">
        <v>155</v>
      </c>
      <c r="E80" s="65">
        <f>SQRT((E75+E77)^2+(E76+E79)^2)</f>
        <v>1466.4077213445998</v>
      </c>
      <c r="F80" s="65">
        <f t="shared" ref="F80:G80" si="5">SQRT((F75+F77)^2+(F76+F79)^2)</f>
        <v>880.45759424632331</v>
      </c>
      <c r="G80" s="65">
        <f t="shared" si="5"/>
        <v>551.13162555367774</v>
      </c>
    </row>
    <row r="81" spans="2:8">
      <c r="C81" s="18" t="s">
        <v>164</v>
      </c>
      <c r="D81" s="64" t="s">
        <v>155</v>
      </c>
      <c r="E81" s="65">
        <f>SQRT((E75+E78)^2+(E76+E79)^2)</f>
        <v>1466.4077213445998</v>
      </c>
      <c r="F81" s="65">
        <f t="shared" ref="F81:G81" si="6">SQRT((F75+F78)^2+(F76+F79)^2)</f>
        <v>880.45759424632331</v>
      </c>
      <c r="G81" s="65">
        <f t="shared" si="6"/>
        <v>551.13162555367774</v>
      </c>
    </row>
    <row r="82" spans="2:8">
      <c r="C82" s="18" t="s">
        <v>166</v>
      </c>
      <c r="D82" s="20" t="s">
        <v>9</v>
      </c>
      <c r="E82" s="94">
        <f>$E$16*$E$17*$E$9/SQRT(3)/E80*1000</f>
        <v>157.09325179727853</v>
      </c>
      <c r="F82" s="94">
        <f t="shared" ref="F82:G82" si="7">$E$16*$E$17*$E$9/SQRT(3)/F80*1000</f>
        <v>261.63980969901513</v>
      </c>
      <c r="G82" s="94">
        <f t="shared" si="7"/>
        <v>417.98137999290776</v>
      </c>
    </row>
    <row r="83" spans="2:8">
      <c r="C83" s="18" t="s">
        <v>167</v>
      </c>
      <c r="D83" s="20" t="s">
        <v>9</v>
      </c>
      <c r="E83" s="94">
        <f>$E$16*$E$17*$E$9/E81*1000</f>
        <v>272.09349363909729</v>
      </c>
      <c r="F83" s="94">
        <f t="shared" ref="F83:G83" si="8">$E$16*$E$17*$E$9/F81*1000</f>
        <v>453.1734436813465</v>
      </c>
      <c r="G83" s="94">
        <f t="shared" si="8"/>
        <v>723.96498676546946</v>
      </c>
    </row>
    <row r="84" spans="2:8">
      <c r="C84" s="18" t="s">
        <v>168</v>
      </c>
      <c r="D84" s="20" t="s">
        <v>9</v>
      </c>
      <c r="E84" s="94">
        <f>MIN(E82:E83)</f>
        <v>157.09325179727853</v>
      </c>
      <c r="F84" s="94">
        <f t="shared" ref="F84:G84" si="9">MIN(F82:F83)</f>
        <v>261.63980969901513</v>
      </c>
      <c r="G84" s="94">
        <f t="shared" si="9"/>
        <v>417.98137999290776</v>
      </c>
    </row>
    <row r="85" spans="2:8">
      <c r="C85" s="18" t="s">
        <v>170</v>
      </c>
      <c r="D85" s="20" t="s">
        <v>171</v>
      </c>
      <c r="E85" s="66">
        <v>5</v>
      </c>
      <c r="F85" s="66">
        <v>5</v>
      </c>
      <c r="G85" s="66">
        <v>5</v>
      </c>
    </row>
    <row r="86" spans="2:8">
      <c r="C86" s="18" t="s">
        <v>172</v>
      </c>
      <c r="D86" s="20" t="s">
        <v>3</v>
      </c>
      <c r="E86" s="41">
        <f>E84/$E$48</f>
        <v>6.4119694611134088</v>
      </c>
      <c r="F86" s="41">
        <f t="shared" ref="F86:G86" si="10">F84/$E$48</f>
        <v>10.67917590608225</v>
      </c>
      <c r="G86" s="41">
        <f t="shared" si="10"/>
        <v>17.06046448950644</v>
      </c>
    </row>
    <row r="87" spans="2:8">
      <c r="C87" s="18" t="s">
        <v>173</v>
      </c>
      <c r="D87" s="20" t="s">
        <v>171</v>
      </c>
      <c r="E87" s="65">
        <f>($E$26*E58/E84)^2</f>
        <v>29.830430193990342</v>
      </c>
      <c r="F87" s="65">
        <f>($E$26*F58/F84)^2</f>
        <v>29.872008609144871</v>
      </c>
      <c r="G87" s="65">
        <f>($E$26*G58/G84)^2</f>
        <v>29.963888288172075</v>
      </c>
    </row>
    <row r="88" spans="2:8">
      <c r="C88" s="18" t="s">
        <v>174</v>
      </c>
      <c r="D88" s="20" t="s">
        <v>171</v>
      </c>
      <c r="E88" s="68">
        <v>9</v>
      </c>
      <c r="F88" s="68">
        <v>4.5</v>
      </c>
      <c r="G88" s="44">
        <v>0.01</v>
      </c>
      <c r="H88" s="18" t="s">
        <v>175</v>
      </c>
    </row>
    <row r="89" spans="2:8">
      <c r="C89" s="18" t="s">
        <v>176</v>
      </c>
      <c r="D89" s="20" t="s">
        <v>143</v>
      </c>
      <c r="E89" s="21" t="str">
        <f>IF($E$13&lt;=E52,"OK!","!!!!!!!!!")</f>
        <v>OK!</v>
      </c>
      <c r="F89" s="21" t="str">
        <f>IF($E$13&lt;=F52,"OK!","!!!!!!!!!")</f>
        <v>OK!</v>
      </c>
      <c r="G89" s="21" t="str">
        <f>IF($E$13&lt;=F52,"OK!","!!!!!!!!!")</f>
        <v>OK!</v>
      </c>
    </row>
    <row r="90" spans="2:8">
      <c r="C90" s="18" t="s">
        <v>177</v>
      </c>
      <c r="D90" s="20" t="s">
        <v>143</v>
      </c>
      <c r="E90" s="21" t="str">
        <f>IF(E88&lt;=E87,"OK!","!!!!!!!!!")</f>
        <v>OK!</v>
      </c>
      <c r="F90" s="21" t="str">
        <f>IF(F88&lt;=F87,"OK!","!!!!!!!!!")</f>
        <v>OK!</v>
      </c>
      <c r="G90" s="21" t="str">
        <f>IF(G88&lt;=G87,"OK!","!!!!!!!!!")</f>
        <v>OK!</v>
      </c>
    </row>
    <row r="91" spans="2:8">
      <c r="C91" s="18" t="s">
        <v>178</v>
      </c>
      <c r="D91" s="20" t="s">
        <v>143</v>
      </c>
      <c r="E91" s="21" t="str">
        <f>IF(E88&lt;=E85,"OK!","!!!!!!!!!")</f>
        <v>!!!!!!!!!</v>
      </c>
      <c r="F91" s="21" t="str">
        <f>IF(F88&lt;=F85,"OK!","!!!!!!!!!")</f>
        <v>OK!</v>
      </c>
      <c r="G91" s="21" t="str">
        <f>IF(G88&lt;=G85,"OK!","!!!!!!!!!")</f>
        <v>OK!</v>
      </c>
    </row>
    <row r="92" spans="2:8">
      <c r="B92" s="19" t="s">
        <v>179</v>
      </c>
      <c r="F92" s="21"/>
      <c r="G92" s="21"/>
    </row>
    <row r="93" spans="2:8">
      <c r="C93" s="18" t="s">
        <v>221</v>
      </c>
      <c r="D93" s="64" t="s">
        <v>155</v>
      </c>
      <c r="E93" s="65">
        <f>E80</f>
        <v>1466.4077213445998</v>
      </c>
      <c r="F93" s="65">
        <f t="shared" ref="F93:G93" si="11">F80</f>
        <v>880.45759424632331</v>
      </c>
      <c r="G93" s="65">
        <f t="shared" si="11"/>
        <v>551.13162555367774</v>
      </c>
    </row>
    <row r="94" spans="2:8">
      <c r="C94" s="18" t="s">
        <v>222</v>
      </c>
      <c r="D94" s="20" t="s">
        <v>171</v>
      </c>
      <c r="E94" s="46">
        <v>0.4</v>
      </c>
      <c r="F94" s="46">
        <v>0.4</v>
      </c>
      <c r="G94" s="46">
        <v>0.4</v>
      </c>
    </row>
    <row r="95" spans="2:8">
      <c r="C95" s="18" t="s">
        <v>182</v>
      </c>
      <c r="D95" s="20" t="s">
        <v>9</v>
      </c>
      <c r="E95" s="47">
        <f>12*$E$47</f>
        <v>300</v>
      </c>
      <c r="F95" s="47">
        <f>12*$E$47</f>
        <v>300</v>
      </c>
      <c r="G95" s="47">
        <f>12*$E$47</f>
        <v>300</v>
      </c>
    </row>
    <row r="96" spans="2:8">
      <c r="C96" s="18" t="s">
        <v>183</v>
      </c>
      <c r="D96" s="20" t="s">
        <v>11</v>
      </c>
      <c r="E96" s="41">
        <f>E93*E95/1000</f>
        <v>439.92231640337997</v>
      </c>
      <c r="F96" s="41">
        <f t="shared" ref="F96:G96" si="12">F93*F95/1000</f>
        <v>264.13727827389704</v>
      </c>
      <c r="G96" s="41">
        <f t="shared" si="12"/>
        <v>165.33948766610331</v>
      </c>
    </row>
    <row r="97" spans="2:7">
      <c r="C97" s="18" t="s">
        <v>184</v>
      </c>
      <c r="D97" s="20" t="s">
        <v>143</v>
      </c>
      <c r="E97" s="21" t="str">
        <f>IF(E96&lt;=($E$9/SQRT(3)),"OK!","!!!!!!!!!")</f>
        <v>!!!!!!!!!</v>
      </c>
      <c r="F97" s="21" t="str">
        <f>IF(F96&lt;=($E$9/SQRT(3)),"OK!","!!!!!!!!!")</f>
        <v>!!!!!!!!!</v>
      </c>
      <c r="G97" s="21" t="str">
        <f>IF(G96&lt;=($E$9/SQRT(3)),"OK!","!!!!!!!!!")</f>
        <v>OK!</v>
      </c>
    </row>
    <row r="98" spans="2:7">
      <c r="B98" s="19" t="s">
        <v>185</v>
      </c>
    </row>
    <row r="99" spans="2:7">
      <c r="C99" s="39" t="s">
        <v>474</v>
      </c>
    </row>
    <row r="100" spans="2:7">
      <c r="C100" s="39" t="s">
        <v>475</v>
      </c>
    </row>
  </sheetData>
  <conditionalFormatting sqref="E97:G97 E89:G91 E72:G72 E64:G66">
    <cfRule type="notContainsText" dxfId="1" priority="1" stopIfTrue="1" operator="notContains" text="OK!">
      <formula>ISERROR(SEARCH("OK!",E64))</formula>
    </cfRule>
  </conditionalFormatting>
  <pageMargins left="0.68" right="0.75" top="0.47" bottom="0.57999999999999996" header="0" footer="0"/>
  <pageSetup paperSize="9" scale="59" orientation="portrait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00"/>
  <sheetViews>
    <sheetView topLeftCell="A59" workbookViewId="0">
      <selection activeCell="F74" sqref="F74"/>
    </sheetView>
  </sheetViews>
  <sheetFormatPr defaultColWidth="9.140625" defaultRowHeight="12.75"/>
  <cols>
    <col min="1" max="1" width="9.140625" style="18"/>
    <col min="2" max="2" width="7.28515625" style="19" customWidth="1"/>
    <col min="3" max="3" width="48.7109375" style="18" bestFit="1" customWidth="1"/>
    <col min="4" max="4" width="9.140625" style="20"/>
    <col min="5" max="5" width="18.42578125" style="21" customWidth="1"/>
    <col min="6" max="6" width="18.42578125" style="18" customWidth="1"/>
    <col min="7" max="16384" width="9.140625" style="18"/>
  </cols>
  <sheetData>
    <row r="1" spans="1:5" s="15" customFormat="1" ht="18">
      <c r="A1" s="15" t="s">
        <v>476</v>
      </c>
      <c r="D1" s="16"/>
      <c r="E1" s="17"/>
    </row>
    <row r="4" spans="1:5">
      <c r="B4" s="24" t="s">
        <v>37</v>
      </c>
      <c r="C4" s="25"/>
      <c r="D4" s="26"/>
      <c r="E4" s="27"/>
    </row>
    <row r="5" spans="1:5">
      <c r="B5" s="24"/>
      <c r="C5" s="25" t="s">
        <v>477</v>
      </c>
      <c r="D5" s="26" t="s">
        <v>39</v>
      </c>
      <c r="E5" s="30">
        <v>100</v>
      </c>
    </row>
    <row r="6" spans="1:5">
      <c r="B6" s="24"/>
      <c r="C6" s="25" t="s">
        <v>205</v>
      </c>
      <c r="D6" s="26" t="s">
        <v>0</v>
      </c>
      <c r="E6" s="30">
        <f>E5*E8</f>
        <v>80</v>
      </c>
    </row>
    <row r="7" spans="1:5">
      <c r="B7" s="24"/>
      <c r="C7" s="25" t="s">
        <v>570</v>
      </c>
      <c r="D7" s="26" t="s">
        <v>1</v>
      </c>
      <c r="E7" s="30">
        <v>100</v>
      </c>
    </row>
    <row r="8" spans="1:5">
      <c r="B8" s="24"/>
      <c r="C8" s="25" t="s">
        <v>40</v>
      </c>
      <c r="D8" s="26" t="s">
        <v>3</v>
      </c>
      <c r="E8" s="30">
        <v>0.8</v>
      </c>
    </row>
    <row r="9" spans="1:5">
      <c r="B9" s="24" t="s">
        <v>46</v>
      </c>
      <c r="C9" s="25"/>
      <c r="D9" s="26"/>
      <c r="E9" s="27"/>
    </row>
    <row r="10" spans="1:5">
      <c r="B10" s="24"/>
      <c r="C10" s="25" t="s">
        <v>47</v>
      </c>
      <c r="D10" s="26" t="s">
        <v>11</v>
      </c>
      <c r="E10" s="30">
        <v>400</v>
      </c>
    </row>
    <row r="11" spans="1:5">
      <c r="B11" s="24"/>
      <c r="C11" s="25" t="s">
        <v>49</v>
      </c>
      <c r="D11" s="26" t="s">
        <v>50</v>
      </c>
      <c r="E11" s="30">
        <v>210</v>
      </c>
    </row>
    <row r="12" spans="1:5">
      <c r="B12" s="24"/>
      <c r="C12" s="25" t="s">
        <v>55</v>
      </c>
      <c r="D12" s="26" t="s">
        <v>1</v>
      </c>
      <c r="E12" s="30">
        <v>4.5</v>
      </c>
    </row>
    <row r="13" spans="1:5">
      <c r="B13" s="24"/>
      <c r="C13" s="25" t="s">
        <v>57</v>
      </c>
      <c r="D13" s="26" t="s">
        <v>39</v>
      </c>
      <c r="E13" s="34">
        <v>1000</v>
      </c>
    </row>
    <row r="14" spans="1:5">
      <c r="B14" s="24"/>
      <c r="C14" s="25" t="s">
        <v>207</v>
      </c>
      <c r="D14" s="26" t="s">
        <v>127</v>
      </c>
      <c r="E14" s="29">
        <f>E13/SQRT(3)/E10/E12*100</f>
        <v>32.075014954979217</v>
      </c>
    </row>
    <row r="15" spans="1:5">
      <c r="B15" s="24"/>
      <c r="C15" s="25" t="s">
        <v>61</v>
      </c>
      <c r="D15" s="26" t="s">
        <v>3</v>
      </c>
      <c r="E15" s="29">
        <v>1</v>
      </c>
    </row>
    <row r="16" spans="1:5">
      <c r="B16" s="24"/>
      <c r="C16" s="25" t="s">
        <v>63</v>
      </c>
      <c r="D16" s="26" t="s">
        <v>3</v>
      </c>
      <c r="E16" s="29">
        <v>1.05</v>
      </c>
    </row>
    <row r="17" spans="2:6">
      <c r="B17" s="24"/>
      <c r="C17" s="25" t="s">
        <v>65</v>
      </c>
      <c r="D17" s="26"/>
      <c r="E17" s="29">
        <v>0.95</v>
      </c>
    </row>
    <row r="18" spans="2:6">
      <c r="B18" s="24"/>
      <c r="C18" s="25" t="s">
        <v>66</v>
      </c>
      <c r="D18" s="26" t="s">
        <v>3</v>
      </c>
      <c r="E18" s="29">
        <v>1.05</v>
      </c>
    </row>
    <row r="19" spans="2:6">
      <c r="B19" s="24"/>
      <c r="C19" s="25" t="s">
        <v>68</v>
      </c>
      <c r="D19" s="26" t="s">
        <v>3</v>
      </c>
      <c r="E19" s="30" t="s">
        <v>69</v>
      </c>
    </row>
    <row r="20" spans="2:6">
      <c r="B20" s="24" t="s">
        <v>70</v>
      </c>
      <c r="C20" s="25"/>
      <c r="D20" s="26"/>
      <c r="E20" s="27"/>
    </row>
    <row r="21" spans="2:6">
      <c r="B21" s="24"/>
      <c r="C21" s="25" t="s">
        <v>72</v>
      </c>
      <c r="D21" s="26" t="s">
        <v>3</v>
      </c>
      <c r="E21" s="30" t="s">
        <v>73</v>
      </c>
    </row>
    <row r="22" spans="2:6">
      <c r="B22" s="24"/>
      <c r="C22" s="25" t="s">
        <v>75</v>
      </c>
      <c r="D22" s="26" t="s">
        <v>3</v>
      </c>
      <c r="E22" s="30" t="s">
        <v>76</v>
      </c>
    </row>
    <row r="23" spans="2:6">
      <c r="B23" s="24"/>
      <c r="C23" s="25" t="s">
        <v>77</v>
      </c>
      <c r="D23" s="37" t="s">
        <v>78</v>
      </c>
      <c r="E23" s="30">
        <v>1.7240999999999999E-2</v>
      </c>
      <c r="F23" s="18" t="s">
        <v>79</v>
      </c>
    </row>
    <row r="24" spans="2:6">
      <c r="B24" s="24"/>
      <c r="C24" s="25" t="s">
        <v>80</v>
      </c>
      <c r="D24" s="38" t="s">
        <v>81</v>
      </c>
      <c r="E24" s="30">
        <v>3.9300000000000003E-3</v>
      </c>
      <c r="F24" s="18" t="s">
        <v>79</v>
      </c>
    </row>
    <row r="25" spans="2:6">
      <c r="B25" s="24"/>
      <c r="C25" s="25" t="s">
        <v>82</v>
      </c>
      <c r="D25" s="38" t="s">
        <v>83</v>
      </c>
      <c r="E25" s="30">
        <v>90</v>
      </c>
      <c r="F25" s="18" t="s">
        <v>208</v>
      </c>
    </row>
    <row r="26" spans="2:6">
      <c r="B26" s="24"/>
      <c r="C26" s="25" t="s">
        <v>85</v>
      </c>
      <c r="D26" s="26" t="s">
        <v>3</v>
      </c>
      <c r="E26" s="30" t="s">
        <v>86</v>
      </c>
      <c r="F26" s="18" t="s">
        <v>87</v>
      </c>
    </row>
    <row r="27" spans="2:6">
      <c r="B27" s="24"/>
      <c r="C27" s="25" t="s">
        <v>88</v>
      </c>
      <c r="D27" s="26" t="s">
        <v>3</v>
      </c>
      <c r="E27" s="30">
        <v>143</v>
      </c>
      <c r="F27" s="18" t="s">
        <v>89</v>
      </c>
    </row>
    <row r="28" spans="2:6">
      <c r="B28" s="24"/>
      <c r="C28" s="25" t="s">
        <v>90</v>
      </c>
      <c r="D28" s="26" t="s">
        <v>91</v>
      </c>
      <c r="E28" s="30">
        <v>0.08</v>
      </c>
    </row>
    <row r="29" spans="2:6">
      <c r="B29" s="24"/>
      <c r="C29" s="25" t="s">
        <v>92</v>
      </c>
      <c r="D29" s="26" t="s">
        <v>3</v>
      </c>
      <c r="E29" s="30" t="s">
        <v>93</v>
      </c>
    </row>
    <row r="30" spans="2:6">
      <c r="B30" s="24"/>
      <c r="C30" s="25" t="s">
        <v>94</v>
      </c>
      <c r="D30" s="26" t="s">
        <v>3</v>
      </c>
      <c r="E30" s="30" t="s">
        <v>478</v>
      </c>
    </row>
    <row r="31" spans="2:6">
      <c r="B31" s="24"/>
      <c r="C31" s="25" t="s">
        <v>97</v>
      </c>
      <c r="D31" s="26" t="s">
        <v>3</v>
      </c>
      <c r="E31" s="30" t="s">
        <v>210</v>
      </c>
    </row>
    <row r="32" spans="2:6">
      <c r="B32" s="24"/>
      <c r="C32" s="25" t="s">
        <v>98</v>
      </c>
      <c r="D32" s="26" t="s">
        <v>99</v>
      </c>
      <c r="E32" s="30" t="s">
        <v>100</v>
      </c>
    </row>
    <row r="33" spans="2:6">
      <c r="B33" s="24"/>
      <c r="C33" s="25" t="s">
        <v>101</v>
      </c>
      <c r="D33" s="26" t="s">
        <v>3</v>
      </c>
      <c r="E33" s="30">
        <v>3</v>
      </c>
    </row>
    <row r="34" spans="2:6">
      <c r="B34" s="24" t="s">
        <v>102</v>
      </c>
      <c r="C34" s="25"/>
      <c r="D34" s="26"/>
      <c r="E34" s="27"/>
    </row>
    <row r="35" spans="2:6">
      <c r="B35" s="24"/>
      <c r="C35" s="25" t="s">
        <v>103</v>
      </c>
      <c r="D35" s="26" t="s">
        <v>83</v>
      </c>
      <c r="E35" s="30">
        <v>40</v>
      </c>
    </row>
    <row r="36" spans="2:6">
      <c r="B36" s="24"/>
      <c r="C36" s="25" t="s">
        <v>104</v>
      </c>
      <c r="D36" s="26" t="s">
        <v>83</v>
      </c>
      <c r="E36" s="30" t="s">
        <v>3</v>
      </c>
    </row>
    <row r="37" spans="2:6">
      <c r="B37" s="24"/>
      <c r="C37" s="25" t="s">
        <v>105</v>
      </c>
      <c r="D37" s="26" t="s">
        <v>106</v>
      </c>
      <c r="E37" s="30" t="s">
        <v>3</v>
      </c>
    </row>
    <row r="39" spans="2:6">
      <c r="B39" s="19" t="s">
        <v>22</v>
      </c>
      <c r="C39" s="18" t="s">
        <v>107</v>
      </c>
      <c r="D39" s="20" t="s">
        <v>9</v>
      </c>
      <c r="E39" s="41">
        <f>E6*E7/100/E8/SQRT(3)/E10*1000</f>
        <v>144.33756729740645</v>
      </c>
    </row>
    <row r="40" spans="2:6">
      <c r="C40" s="18" t="s">
        <v>108</v>
      </c>
      <c r="D40" s="20" t="s">
        <v>3</v>
      </c>
      <c r="E40" s="42">
        <v>13</v>
      </c>
      <c r="F40" s="18" t="s">
        <v>109</v>
      </c>
    </row>
    <row r="41" spans="2:6">
      <c r="C41" s="18" t="s">
        <v>110</v>
      </c>
      <c r="D41" s="20" t="s">
        <v>3</v>
      </c>
      <c r="E41" s="44" t="s">
        <v>280</v>
      </c>
      <c r="F41" s="18" t="s">
        <v>109</v>
      </c>
    </row>
    <row r="43" spans="2:6">
      <c r="B43" s="19" t="s">
        <v>112</v>
      </c>
    </row>
    <row r="44" spans="2:6">
      <c r="C44" s="18" t="s">
        <v>470</v>
      </c>
      <c r="D44" s="20" t="s">
        <v>3</v>
      </c>
      <c r="E44" s="44">
        <v>0.91</v>
      </c>
      <c r="F44" s="18" t="s">
        <v>273</v>
      </c>
    </row>
    <row r="45" spans="2:6">
      <c r="C45" s="18" t="s">
        <v>479</v>
      </c>
      <c r="D45" s="20" t="s">
        <v>3</v>
      </c>
      <c r="E45" s="44">
        <v>0.96</v>
      </c>
      <c r="F45" s="18" t="s">
        <v>294</v>
      </c>
    </row>
    <row r="46" spans="2:6">
      <c r="C46" s="18" t="s">
        <v>117</v>
      </c>
      <c r="D46" s="20" t="s">
        <v>3</v>
      </c>
      <c r="E46" s="45">
        <f>E44*E45</f>
        <v>0.87360000000000004</v>
      </c>
    </row>
    <row r="47" spans="2:6">
      <c r="B47" s="19" t="s">
        <v>118</v>
      </c>
      <c r="E47" s="41"/>
    </row>
    <row r="48" spans="2:6">
      <c r="C48" s="18" t="s">
        <v>119</v>
      </c>
      <c r="D48" s="20" t="s">
        <v>9</v>
      </c>
      <c r="E48" s="42">
        <v>160</v>
      </c>
    </row>
    <row r="49" spans="2:7">
      <c r="C49" s="18" t="s">
        <v>120</v>
      </c>
      <c r="D49" s="20" t="s">
        <v>9</v>
      </c>
      <c r="E49" s="46">
        <f>E48</f>
        <v>160</v>
      </c>
    </row>
    <row r="50" spans="2:7">
      <c r="C50" s="18" t="s">
        <v>122</v>
      </c>
      <c r="D50" s="20" t="s">
        <v>9</v>
      </c>
      <c r="E50" s="189" t="s">
        <v>3</v>
      </c>
    </row>
    <row r="51" spans="2:7">
      <c r="C51" s="18" t="s">
        <v>287</v>
      </c>
      <c r="D51" s="20" t="s">
        <v>3</v>
      </c>
      <c r="E51" s="190">
        <v>1.6</v>
      </c>
      <c r="F51" s="18" t="s">
        <v>480</v>
      </c>
    </row>
    <row r="52" spans="2:7">
      <c r="C52" s="18" t="s">
        <v>125</v>
      </c>
      <c r="D52" s="20" t="s">
        <v>9</v>
      </c>
      <c r="E52" s="41">
        <f>E51*E49</f>
        <v>256</v>
      </c>
    </row>
    <row r="53" spans="2:7">
      <c r="C53" s="18" t="s">
        <v>126</v>
      </c>
      <c r="D53" s="20" t="s">
        <v>127</v>
      </c>
      <c r="E53" s="46">
        <v>100</v>
      </c>
    </row>
    <row r="54" spans="2:7">
      <c r="C54" s="18" t="s">
        <v>129</v>
      </c>
      <c r="D54" s="20" t="s">
        <v>3</v>
      </c>
      <c r="E54" s="44" t="s">
        <v>3</v>
      </c>
    </row>
    <row r="55" spans="2:7">
      <c r="E55" s="50"/>
    </row>
    <row r="56" spans="2:7">
      <c r="E56" s="21" t="s">
        <v>481</v>
      </c>
      <c r="F56" s="21" t="s">
        <v>482</v>
      </c>
    </row>
    <row r="57" spans="2:7">
      <c r="B57" s="19" t="s">
        <v>131</v>
      </c>
    </row>
    <row r="58" spans="2:7">
      <c r="C58" s="19" t="s">
        <v>133</v>
      </c>
      <c r="D58" s="53" t="s">
        <v>99</v>
      </c>
      <c r="E58" s="54">
        <v>50</v>
      </c>
      <c r="F58" s="54">
        <v>70</v>
      </c>
      <c r="G58" s="19" t="s">
        <v>216</v>
      </c>
    </row>
    <row r="59" spans="2:7">
      <c r="C59" s="18" t="s">
        <v>136</v>
      </c>
      <c r="D59" s="20" t="s">
        <v>99</v>
      </c>
      <c r="E59" s="56">
        <v>50</v>
      </c>
      <c r="F59" s="56">
        <v>70</v>
      </c>
      <c r="G59" s="18" t="s">
        <v>137</v>
      </c>
    </row>
    <row r="60" spans="2:7">
      <c r="C60" s="18" t="s">
        <v>138</v>
      </c>
      <c r="D60" s="20" t="s">
        <v>9</v>
      </c>
      <c r="E60" s="56">
        <v>207</v>
      </c>
      <c r="F60" s="56">
        <v>207</v>
      </c>
      <c r="G60" s="18" t="s">
        <v>216</v>
      </c>
    </row>
    <row r="61" spans="2:7">
      <c r="C61" s="18" t="s">
        <v>139</v>
      </c>
      <c r="D61" s="20" t="s">
        <v>9</v>
      </c>
      <c r="E61" s="41">
        <f>E60*E46</f>
        <v>180.83520000000001</v>
      </c>
      <c r="F61" s="41">
        <f>F60*F46</f>
        <v>0</v>
      </c>
    </row>
    <row r="62" spans="2:7">
      <c r="C62" s="18" t="s">
        <v>140</v>
      </c>
      <c r="D62" s="20" t="s">
        <v>9</v>
      </c>
      <c r="E62" s="41">
        <f>1.45*E61</f>
        <v>262.21104000000003</v>
      </c>
      <c r="F62" s="41">
        <f>1.45*F61</f>
        <v>0</v>
      </c>
    </row>
    <row r="63" spans="2:7">
      <c r="B63" s="19" t="s">
        <v>141</v>
      </c>
      <c r="F63" s="21"/>
    </row>
    <row r="64" spans="2:7">
      <c r="C64" s="18" t="s">
        <v>217</v>
      </c>
      <c r="D64" s="20" t="s">
        <v>143</v>
      </c>
      <c r="E64" s="21" t="str">
        <f>IF(E39&lt;=E49,"OK!","!!!!!!!!!")</f>
        <v>OK!</v>
      </c>
      <c r="F64" s="21" t="str">
        <f>IF(F39&lt;=F49,"OK!","!!!!!!!!!")</f>
        <v>OK!</v>
      </c>
    </row>
    <row r="65" spans="2:7">
      <c r="C65" s="18" t="s">
        <v>218</v>
      </c>
      <c r="D65" s="20" t="s">
        <v>143</v>
      </c>
      <c r="E65" s="21" t="str">
        <f>IF(E49&lt;=E61,"OK!","!!!!!!!!!")</f>
        <v>OK!</v>
      </c>
      <c r="F65" s="21" t="str">
        <f>IF(F49&lt;=F61,"OK!","!!!!!!!!!")</f>
        <v>OK!</v>
      </c>
    </row>
    <row r="66" spans="2:7">
      <c r="C66" s="18" t="s">
        <v>145</v>
      </c>
      <c r="D66" s="20" t="s">
        <v>143</v>
      </c>
      <c r="E66" s="21" t="str">
        <f>IF(E52&lt;=E62,"OK!","!!!!!!!!!")</f>
        <v>OK!</v>
      </c>
      <c r="F66" s="21" t="str">
        <f>IF(F52&lt;=F62,"OK!","!!!!!!!!!")</f>
        <v>OK!</v>
      </c>
    </row>
    <row r="67" spans="2:7">
      <c r="B67" s="19" t="s">
        <v>146</v>
      </c>
      <c r="F67" s="21"/>
    </row>
    <row r="68" spans="2:7" s="58" customFormat="1">
      <c r="B68" s="57"/>
      <c r="C68" s="58" t="s">
        <v>147</v>
      </c>
      <c r="D68" s="59" t="s">
        <v>78</v>
      </c>
      <c r="E68" s="60">
        <f>$E$23*(1+$E$24*($E$25-20))</f>
        <v>2.1983999100000002E-2</v>
      </c>
      <c r="F68" s="60">
        <f>$E$23*(1+$E$24*($E$25-20))</f>
        <v>2.1983999100000002E-2</v>
      </c>
    </row>
    <row r="69" spans="2:7">
      <c r="C69" s="61" t="s">
        <v>148</v>
      </c>
      <c r="D69" s="20" t="s">
        <v>1</v>
      </c>
      <c r="E69" s="62">
        <v>0.05</v>
      </c>
      <c r="F69" s="62">
        <v>0.05</v>
      </c>
      <c r="G69" s="18" t="s">
        <v>149</v>
      </c>
    </row>
    <row r="70" spans="2:7">
      <c r="C70" s="18" t="s">
        <v>150</v>
      </c>
      <c r="D70" s="20" t="s">
        <v>11</v>
      </c>
      <c r="E70" s="41">
        <f>(E68*$E$11/E58*$E$8+0.08/1000*$E$11*SIN(ACOS($E$8)))*$E$39</f>
        <v>12.116595628887431</v>
      </c>
      <c r="F70" s="41">
        <f>(F68*$E$11/F58*$E$8+0.08/1000*$E$11*SIN(ACOS($E$8)))*$E$39</f>
        <v>9.0704033573075531</v>
      </c>
    </row>
    <row r="71" spans="2:7" ht="15">
      <c r="C71" s="61" t="s">
        <v>151</v>
      </c>
      <c r="D71" s="20" t="s">
        <v>1</v>
      </c>
      <c r="E71" s="93">
        <f>E70*SQRT(3)/$E$10</f>
        <v>5.2466398110000007E-2</v>
      </c>
      <c r="F71" s="93">
        <f>F70*SQRT(3)/$E$10</f>
        <v>3.9275998650000005E-2</v>
      </c>
    </row>
    <row r="72" spans="2:7">
      <c r="C72" s="18" t="s">
        <v>152</v>
      </c>
      <c r="D72" s="20" t="s">
        <v>143</v>
      </c>
      <c r="E72" s="21" t="str">
        <f>IF(E71&lt;=E69,"OK!","!!!!!!!!!")</f>
        <v>!!!!!!!!!</v>
      </c>
      <c r="F72" s="21" t="str">
        <f>IF(F71&lt;=F69,"OK!","!!!!!!!!!")</f>
        <v>OK!</v>
      </c>
    </row>
    <row r="73" spans="2:7">
      <c r="B73" s="19" t="s">
        <v>153</v>
      </c>
      <c r="F73" s="21"/>
    </row>
    <row r="74" spans="2:7">
      <c r="C74" s="18" t="s">
        <v>154</v>
      </c>
      <c r="D74" s="64" t="s">
        <v>155</v>
      </c>
      <c r="E74" s="45">
        <f>$E$16*$E$18*$E$10/SQRT(3)/$E$14</f>
        <v>7.9379999999999979</v>
      </c>
      <c r="F74" s="45">
        <f>$E$16*$E$18*$E$10/SQRT(3)/$E$14</f>
        <v>7.9379999999999979</v>
      </c>
    </row>
    <row r="75" spans="2:7">
      <c r="C75" s="18" t="s">
        <v>158</v>
      </c>
      <c r="D75" s="64" t="s">
        <v>155</v>
      </c>
      <c r="E75" s="65">
        <f>E68*$E$11*(1/E58+1/E59)*1000</f>
        <v>184.66559244000001</v>
      </c>
      <c r="F75" s="65">
        <f>F68*$E$11*(1/F58+1/F59)*1000</f>
        <v>131.90399460000003</v>
      </c>
    </row>
    <row r="76" spans="2:7">
      <c r="C76" s="18" t="s">
        <v>159</v>
      </c>
      <c r="D76" s="64" t="s">
        <v>155</v>
      </c>
      <c r="E76" s="65">
        <f>E68*$E$11*2/E58*1000</f>
        <v>184.66559244000001</v>
      </c>
      <c r="F76" s="65">
        <f>F68*$E$11*2/F58*1000</f>
        <v>131.90399460000003</v>
      </c>
    </row>
    <row r="77" spans="2:7">
      <c r="C77" s="18" t="s">
        <v>219</v>
      </c>
      <c r="D77" s="64" t="s">
        <v>155</v>
      </c>
      <c r="E77" s="45">
        <f>2*$E$28*$E$11</f>
        <v>33.6</v>
      </c>
      <c r="F77" s="45">
        <f>2*$E$28*$E$11</f>
        <v>33.6</v>
      </c>
    </row>
    <row r="78" spans="2:7">
      <c r="C78" s="18" t="s">
        <v>161</v>
      </c>
      <c r="D78" s="64" t="s">
        <v>155</v>
      </c>
      <c r="E78" s="65">
        <f>SQRT(E75^2+E77^2)</f>
        <v>187.69747209596667</v>
      </c>
      <c r="F78" s="65">
        <f>SQRT(F75^2+F77^2)</f>
        <v>136.11621428557598</v>
      </c>
    </row>
    <row r="79" spans="2:7">
      <c r="C79" s="18" t="s">
        <v>162</v>
      </c>
      <c r="D79" s="64" t="s">
        <v>155</v>
      </c>
      <c r="E79" s="65">
        <f>SQRT(E76^2+E77^2)</f>
        <v>187.69747209596667</v>
      </c>
      <c r="F79" s="65">
        <f>SQRT(F76^2+F77^2)</f>
        <v>136.11621428557598</v>
      </c>
    </row>
    <row r="80" spans="2:7">
      <c r="C80" s="18" t="s">
        <v>163</v>
      </c>
      <c r="D80" s="64" t="s">
        <v>155</v>
      </c>
      <c r="E80" s="65">
        <f>E74+E78</f>
        <v>195.63547209596666</v>
      </c>
      <c r="F80" s="65">
        <f>F74+F78</f>
        <v>144.05421428557597</v>
      </c>
    </row>
    <row r="81" spans="2:7">
      <c r="C81" s="18" t="s">
        <v>164</v>
      </c>
      <c r="D81" s="64" t="s">
        <v>155</v>
      </c>
      <c r="E81" s="65">
        <f>E74+E79</f>
        <v>195.63547209596666</v>
      </c>
      <c r="F81" s="65">
        <f>F74+F79</f>
        <v>144.05421428557597</v>
      </c>
    </row>
    <row r="82" spans="2:7">
      <c r="C82" s="18" t="s">
        <v>166</v>
      </c>
      <c r="D82" s="20" t="s">
        <v>9</v>
      </c>
      <c r="E82" s="66">
        <f>$E$17*$E$18*$E$10/SQRT(3)/E80*1000</f>
        <v>1177.5101669377166</v>
      </c>
      <c r="F82" s="66">
        <f>$E$17*$E$18*$E$10/SQRT(3)/F80*1000</f>
        <v>1599.1393139667887</v>
      </c>
    </row>
    <row r="83" spans="2:7">
      <c r="C83" s="18" t="s">
        <v>167</v>
      </c>
      <c r="D83" s="20" t="s">
        <v>9</v>
      </c>
      <c r="E83" s="66">
        <f>$E$17*$E$18*$E$10/E81*1000</f>
        <v>2039.5074355650356</v>
      </c>
      <c r="F83" s="66">
        <f>$E$17*$E$18*$E$10/F81*1000</f>
        <v>2769.790540171316</v>
      </c>
    </row>
    <row r="84" spans="2:7">
      <c r="C84" s="18" t="s">
        <v>168</v>
      </c>
      <c r="D84" s="20" t="s">
        <v>9</v>
      </c>
      <c r="E84" s="66">
        <f>MIN(E82:E83)</f>
        <v>1177.5101669377166</v>
      </c>
      <c r="F84" s="66">
        <f>MIN(F82:F83)</f>
        <v>1599.1393139667887</v>
      </c>
    </row>
    <row r="85" spans="2:7">
      <c r="C85" s="18" t="s">
        <v>170</v>
      </c>
      <c r="D85" s="20" t="s">
        <v>171</v>
      </c>
      <c r="E85" s="66">
        <v>5</v>
      </c>
      <c r="F85" s="66">
        <v>5</v>
      </c>
    </row>
    <row r="86" spans="2:7">
      <c r="C86" s="18" t="s">
        <v>172</v>
      </c>
      <c r="D86" s="20" t="s">
        <v>3</v>
      </c>
      <c r="E86" s="41">
        <f>E84/$E$49</f>
        <v>7.3594385433607288</v>
      </c>
      <c r="F86" s="41">
        <f>F84/$E$49</f>
        <v>9.9946207122924289</v>
      </c>
    </row>
    <row r="87" spans="2:7">
      <c r="C87" s="18" t="s">
        <v>173</v>
      </c>
      <c r="D87" s="20" t="s">
        <v>171</v>
      </c>
      <c r="E87" s="65">
        <f>($E$27*E58/E84)^2</f>
        <v>36.870816264358638</v>
      </c>
      <c r="F87" s="65">
        <f>($E$27*F58/F84)^2</f>
        <v>39.182807843590467</v>
      </c>
    </row>
    <row r="88" spans="2:7">
      <c r="C88" s="18" t="s">
        <v>174</v>
      </c>
      <c r="D88" s="20" t="s">
        <v>171</v>
      </c>
      <c r="E88" s="44">
        <v>0.4</v>
      </c>
      <c r="F88" s="44">
        <v>0.15</v>
      </c>
      <c r="G88" s="18" t="s">
        <v>175</v>
      </c>
    </row>
    <row r="89" spans="2:7">
      <c r="C89" s="18" t="s">
        <v>176</v>
      </c>
      <c r="D89" s="20" t="s">
        <v>143</v>
      </c>
      <c r="E89" s="21" t="str">
        <f>IF(E14&lt;=E53,"OK!","!!!!!!!!!")</f>
        <v>OK!</v>
      </c>
      <c r="F89" s="21" t="str">
        <f>IF(F14&lt;=F53,"OK!","!!!!!!!!!")</f>
        <v>OK!</v>
      </c>
    </row>
    <row r="90" spans="2:7">
      <c r="C90" s="18" t="s">
        <v>177</v>
      </c>
      <c r="D90" s="20" t="s">
        <v>143</v>
      </c>
      <c r="E90" s="21" t="str">
        <f>IF(E88&lt;=E87,"OK!","!!!!!!!!!")</f>
        <v>OK!</v>
      </c>
      <c r="F90" s="21" t="str">
        <f>IF(F88&lt;=F87,"OK!","!!!!!!!!!")</f>
        <v>OK!</v>
      </c>
    </row>
    <row r="91" spans="2:7">
      <c r="C91" s="18" t="s">
        <v>178</v>
      </c>
      <c r="D91" s="20" t="s">
        <v>143</v>
      </c>
      <c r="E91" s="21" t="str">
        <f>IF(E88&lt;=E85,"OK!","!!!!!!!!!")</f>
        <v>OK!</v>
      </c>
      <c r="F91" s="21" t="str">
        <f>IF(F88&lt;=F85,"OK!","!!!!!!!!!")</f>
        <v>OK!</v>
      </c>
    </row>
    <row r="92" spans="2:7">
      <c r="B92" s="19" t="s">
        <v>179</v>
      </c>
      <c r="F92" s="21"/>
    </row>
    <row r="93" spans="2:7">
      <c r="C93" s="18" t="s">
        <v>221</v>
      </c>
      <c r="D93" s="64" t="s">
        <v>155</v>
      </c>
      <c r="E93" s="45">
        <f>E80</f>
        <v>195.63547209596666</v>
      </c>
      <c r="F93" s="45">
        <f>F80</f>
        <v>144.05421428557597</v>
      </c>
    </row>
    <row r="94" spans="2:7">
      <c r="C94" s="18" t="s">
        <v>222</v>
      </c>
      <c r="D94" s="20" t="s">
        <v>171</v>
      </c>
      <c r="E94" s="46">
        <v>0.4</v>
      </c>
      <c r="F94" s="46">
        <v>0.4</v>
      </c>
    </row>
    <row r="95" spans="2:7">
      <c r="C95" s="18" t="s">
        <v>182</v>
      </c>
      <c r="D95" s="20" t="s">
        <v>9</v>
      </c>
      <c r="E95" s="47">
        <v>1200</v>
      </c>
      <c r="F95" s="47">
        <f>$E$95</f>
        <v>1200</v>
      </c>
    </row>
    <row r="96" spans="2:7">
      <c r="C96" s="18" t="s">
        <v>183</v>
      </c>
      <c r="D96" s="20" t="s">
        <v>11</v>
      </c>
      <c r="E96" s="41">
        <f>E93*E95/1000</f>
        <v>234.76256651515999</v>
      </c>
      <c r="F96" s="41">
        <f>F93*F95/1000</f>
        <v>172.86505714269117</v>
      </c>
    </row>
    <row r="97" spans="2:6">
      <c r="C97" s="18" t="s">
        <v>184</v>
      </c>
      <c r="D97" s="20" t="s">
        <v>143</v>
      </c>
      <c r="E97" s="21" t="str">
        <f>IF(E96&lt;=($E$10/SQRT(3)),"OK!","!!!!!!!!!")</f>
        <v>!!!!!!!!!</v>
      </c>
      <c r="F97" s="21" t="str">
        <f>IF(F96&lt;=($E$10/SQRT(3)),"OK!","!!!!!!!!!")</f>
        <v>OK!</v>
      </c>
    </row>
    <row r="98" spans="2:6">
      <c r="B98" s="19" t="s">
        <v>185</v>
      </c>
    </row>
    <row r="99" spans="2:6">
      <c r="C99" s="39" t="s">
        <v>483</v>
      </c>
    </row>
    <row r="100" spans="2:6">
      <c r="C100" s="39" t="s">
        <v>484</v>
      </c>
    </row>
  </sheetData>
  <conditionalFormatting sqref="E72:F72 E97:F97">
    <cfRule type="cellIs" dxfId="0" priority="1" operator="notEqual">
      <formula>"OK!"</formula>
    </cfRule>
  </conditionalFormatting>
  <pageMargins left="0.68" right="0.75" top="0.47" bottom="0.57999999999999996" header="0" footer="0"/>
  <pageSetup paperSize="9" scale="73" orientation="portrait" r:id="rId1"/>
  <headerFooter alignWithMargins="0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>
      <selection activeCell="H12" sqref="H12"/>
    </sheetView>
  </sheetViews>
  <sheetFormatPr defaultRowHeight="15"/>
  <cols>
    <col min="3" max="3" width="19" bestFit="1" customWidth="1"/>
    <col min="4" max="4" width="6.7109375" style="1" customWidth="1"/>
  </cols>
  <sheetData>
    <row r="1" spans="1:6">
      <c r="A1" s="219" t="s">
        <v>569</v>
      </c>
    </row>
    <row r="4" spans="1:6">
      <c r="C4" t="s">
        <v>22</v>
      </c>
      <c r="D4" s="1" t="s">
        <v>9</v>
      </c>
      <c r="E4">
        <v>850</v>
      </c>
    </row>
    <row r="5" spans="1:6">
      <c r="C5" t="s">
        <v>548</v>
      </c>
      <c r="D5" s="1" t="s">
        <v>127</v>
      </c>
      <c r="E5">
        <v>30</v>
      </c>
    </row>
    <row r="6" spans="1:6">
      <c r="C6" t="s">
        <v>549</v>
      </c>
      <c r="D6" s="1" t="s">
        <v>550</v>
      </c>
      <c r="E6">
        <v>12</v>
      </c>
    </row>
    <row r="7" spans="1:6">
      <c r="C7" t="s">
        <v>551</v>
      </c>
      <c r="D7" s="1" t="s">
        <v>550</v>
      </c>
      <c r="E7">
        <v>200</v>
      </c>
    </row>
    <row r="9" spans="1:6">
      <c r="C9" t="s">
        <v>272</v>
      </c>
      <c r="E9">
        <v>0.85</v>
      </c>
      <c r="F9" t="s">
        <v>552</v>
      </c>
    </row>
    <row r="10" spans="1:6">
      <c r="C10" t="s">
        <v>275</v>
      </c>
      <c r="E10">
        <v>0.87</v>
      </c>
      <c r="F10" t="s">
        <v>553</v>
      </c>
    </row>
    <row r="11" spans="1:6">
      <c r="C11" t="s">
        <v>554</v>
      </c>
      <c r="E11">
        <f>E9*E10</f>
        <v>0.73949999999999994</v>
      </c>
    </row>
    <row r="12" spans="1:6">
      <c r="C12" t="s">
        <v>555</v>
      </c>
      <c r="D12" s="1" t="s">
        <v>9</v>
      </c>
      <c r="E12" s="218">
        <f>E4/E11</f>
        <v>1149.4252873563219</v>
      </c>
    </row>
    <row r="13" spans="1:6">
      <c r="C13" t="s">
        <v>556</v>
      </c>
      <c r="D13" s="1" t="s">
        <v>9</v>
      </c>
      <c r="E13">
        <v>1200</v>
      </c>
    </row>
    <row r="14" spans="1:6">
      <c r="C14" s="101" t="s">
        <v>246</v>
      </c>
      <c r="D14" s="102" t="s">
        <v>99</v>
      </c>
      <c r="E14" s="101" t="s">
        <v>557</v>
      </c>
    </row>
    <row r="16" spans="1:6">
      <c r="C16" t="s">
        <v>249</v>
      </c>
      <c r="D16" s="1" t="s">
        <v>550</v>
      </c>
      <c r="E16">
        <v>100</v>
      </c>
    </row>
    <row r="17" spans="3:5">
      <c r="C17" t="s">
        <v>560</v>
      </c>
      <c r="D17" s="1" t="s">
        <v>3</v>
      </c>
      <c r="E17">
        <v>2</v>
      </c>
    </row>
    <row r="18" spans="3:5">
      <c r="C18" t="s">
        <v>561</v>
      </c>
      <c r="D18" s="1" t="s">
        <v>550</v>
      </c>
      <c r="E18" t="s">
        <v>562</v>
      </c>
    </row>
    <row r="19" spans="3:5">
      <c r="C19" t="s">
        <v>558</v>
      </c>
      <c r="D19" s="1" t="s">
        <v>559</v>
      </c>
      <c r="E19">
        <v>10</v>
      </c>
    </row>
    <row r="20" spans="3:5">
      <c r="C20" t="s">
        <v>563</v>
      </c>
      <c r="D20" s="1" t="s">
        <v>564</v>
      </c>
      <c r="E20">
        <f>E19*E16/2</f>
        <v>500</v>
      </c>
    </row>
    <row r="21" spans="3:5">
      <c r="C21" t="s">
        <v>565</v>
      </c>
      <c r="D21" s="1" t="s">
        <v>564</v>
      </c>
      <c r="E21" t="s">
        <v>566</v>
      </c>
    </row>
    <row r="23" spans="3:5">
      <c r="C23" t="s">
        <v>567</v>
      </c>
      <c r="E23" t="s">
        <v>568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13</vt:i4>
      </vt:variant>
      <vt:variant>
        <vt:lpstr>Intervalos com nome</vt:lpstr>
      </vt:variant>
      <vt:variant>
        <vt:i4>2</vt:i4>
      </vt:variant>
    </vt:vector>
  </HeadingPairs>
  <TitlesOfParts>
    <vt:vector size="15" baseType="lpstr">
      <vt:lpstr>i_arr</vt:lpstr>
      <vt:lpstr>dis_dom</vt:lpstr>
      <vt:lpstr>dis_fusiveisgg</vt:lpstr>
      <vt:lpstr>resistividades</vt:lpstr>
      <vt:lpstr>airo4</vt:lpstr>
      <vt:lpstr>exemplo_SST</vt:lpstr>
      <vt:lpstr>bal_pot</vt:lpstr>
      <vt:lpstr>perg1a4</vt:lpstr>
      <vt:lpstr>perg5</vt:lpstr>
      <vt:lpstr>perg6</vt:lpstr>
      <vt:lpstr>perg7</vt:lpstr>
      <vt:lpstr>perg8</vt:lpstr>
      <vt:lpstr>perg12</vt:lpstr>
      <vt:lpstr>exemplo_SST!Área_de_Impressão</vt:lpstr>
      <vt:lpstr>perg7!Área_de_Impressão</vt:lpstr>
    </vt:vector>
  </TitlesOfParts>
  <Company>ESTGA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Sá</dc:creator>
  <cp:lastModifiedBy>André Sá</cp:lastModifiedBy>
  <dcterms:created xsi:type="dcterms:W3CDTF">2013-10-23T10:01:37Z</dcterms:created>
  <dcterms:modified xsi:type="dcterms:W3CDTF">2016-10-31T11:59:08Z</dcterms:modified>
</cp:coreProperties>
</file>