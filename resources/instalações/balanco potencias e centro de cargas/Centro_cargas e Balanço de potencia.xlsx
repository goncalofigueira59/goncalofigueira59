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ouperenault-my.sharepoint.com/personal/claudio_seabra_renault_com/Documents/UNIVERSIDADE/PROJETO INTEGRADO EM INSTALAÇÕES ELÉTRICAS/2020_2021/"/>
    </mc:Choice>
  </mc:AlternateContent>
  <xr:revisionPtr revIDLastSave="127" documentId="8_{6E981197-58C0-4FBA-B3BD-78E1993B764F}" xr6:coauthVersionLast="45" xr6:coauthVersionMax="45" xr10:uidLastSave="{FA86EF05-443C-42A4-AE27-4109EA051DE9}"/>
  <bookViews>
    <workbookView xWindow="-108" yWindow="-108" windowWidth="23256" windowHeight="12576" xr2:uid="{00000000-000D-0000-FFFF-FFFF00000000}"/>
  </bookViews>
  <sheets>
    <sheet name="CENTRO DE CARGAS" sheetId="4" r:id="rId1"/>
    <sheet name="bal_pot_exemplo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13" i="5" l="1"/>
  <c r="Y9" i="5"/>
  <c r="V13" i="5"/>
  <c r="L37" i="5"/>
  <c r="J121" i="5"/>
  <c r="I121" i="5"/>
  <c r="K121" i="5" s="1"/>
  <c r="E9" i="4"/>
  <c r="E8" i="4"/>
  <c r="E7" i="4"/>
  <c r="E6" i="4"/>
  <c r="E5" i="4"/>
  <c r="J129" i="5"/>
  <c r="I129" i="5"/>
  <c r="K129" i="5" s="1"/>
  <c r="I120" i="5"/>
  <c r="J120" i="5" s="1"/>
  <c r="J119" i="5"/>
  <c r="I119" i="5"/>
  <c r="K119" i="5" s="1"/>
  <c r="D118" i="5"/>
  <c r="I118" i="5" s="1"/>
  <c r="I117" i="5"/>
  <c r="J117" i="5" s="1"/>
  <c r="D117" i="5"/>
  <c r="J116" i="5"/>
  <c r="I116" i="5"/>
  <c r="I110" i="5"/>
  <c r="J110" i="5" s="1"/>
  <c r="I100" i="5"/>
  <c r="I99" i="5"/>
  <c r="D99" i="5"/>
  <c r="D98" i="5"/>
  <c r="I98" i="5" s="1"/>
  <c r="I97" i="5"/>
  <c r="J97" i="5" s="1"/>
  <c r="J91" i="5"/>
  <c r="K91" i="5" s="1"/>
  <c r="I91" i="5"/>
  <c r="I82" i="5"/>
  <c r="J82" i="5" s="1"/>
  <c r="K82" i="5" s="1"/>
  <c r="I81" i="5"/>
  <c r="I80" i="5"/>
  <c r="D80" i="5"/>
  <c r="D79" i="5"/>
  <c r="I79" i="5" s="1"/>
  <c r="I78" i="5"/>
  <c r="I9" i="5"/>
  <c r="J9" i="5" s="1"/>
  <c r="K9" i="5" s="1"/>
  <c r="I8" i="5"/>
  <c r="J8" i="5" s="1"/>
  <c r="K8" i="5" s="1"/>
  <c r="I7" i="5"/>
  <c r="D6" i="5"/>
  <c r="I6" i="5" s="1"/>
  <c r="D5" i="5"/>
  <c r="I5" i="5" s="1"/>
  <c r="I4" i="5"/>
  <c r="I72" i="5"/>
  <c r="J72" i="5" s="1"/>
  <c r="K72" i="5" s="1"/>
  <c r="I63" i="5"/>
  <c r="J63" i="5" s="1"/>
  <c r="K63" i="5" s="1"/>
  <c r="I62" i="5"/>
  <c r="D61" i="5"/>
  <c r="I61" i="5" s="1"/>
  <c r="D60" i="5"/>
  <c r="I60" i="5" s="1"/>
  <c r="I59" i="5"/>
  <c r="I29" i="5"/>
  <c r="I28" i="5"/>
  <c r="J28" i="5" s="1"/>
  <c r="K28" i="5" s="1"/>
  <c r="I27" i="5"/>
  <c r="J27" i="5" s="1"/>
  <c r="K27" i="5" s="1"/>
  <c r="D26" i="5"/>
  <c r="I26" i="5" s="1"/>
  <c r="D25" i="5"/>
  <c r="I25" i="5" s="1"/>
  <c r="I24" i="5"/>
  <c r="I53" i="5"/>
  <c r="I45" i="5"/>
  <c r="J45" i="5" s="1"/>
  <c r="K45" i="5" s="1"/>
  <c r="D44" i="5"/>
  <c r="I44" i="5" s="1"/>
  <c r="J44" i="5" s="1"/>
  <c r="K44" i="5" s="1"/>
  <c r="D43" i="5"/>
  <c r="I43" i="5" s="1"/>
  <c r="I42" i="5"/>
  <c r="J42" i="5" s="1"/>
  <c r="I130" i="5" l="1"/>
  <c r="J118" i="5"/>
  <c r="K118" i="5"/>
  <c r="J130" i="5"/>
  <c r="K116" i="5"/>
  <c r="K117" i="5"/>
  <c r="K120" i="5"/>
  <c r="J98" i="5"/>
  <c r="J99" i="5"/>
  <c r="K99" i="5" s="1"/>
  <c r="K97" i="5"/>
  <c r="K110" i="5"/>
  <c r="J100" i="5"/>
  <c r="K100" i="5" s="1"/>
  <c r="I111" i="5"/>
  <c r="J79" i="5"/>
  <c r="K79" i="5" s="1"/>
  <c r="J78" i="5"/>
  <c r="J92" i="5" s="1"/>
  <c r="J80" i="5"/>
  <c r="K80" i="5" s="1"/>
  <c r="J81" i="5"/>
  <c r="K81" i="5" s="1"/>
  <c r="I92" i="5"/>
  <c r="I73" i="5"/>
  <c r="L73" i="5" s="1"/>
  <c r="T17" i="5" s="1"/>
  <c r="J60" i="5"/>
  <c r="K60" i="5" s="1"/>
  <c r="J6" i="5"/>
  <c r="K6" i="5" s="1"/>
  <c r="J61" i="5"/>
  <c r="K61" i="5" s="1"/>
  <c r="J43" i="5"/>
  <c r="I54" i="5"/>
  <c r="J5" i="5"/>
  <c r="K5" i="5" s="1"/>
  <c r="K42" i="5"/>
  <c r="J25" i="5"/>
  <c r="K25" i="5" s="1"/>
  <c r="J59" i="5"/>
  <c r="K59" i="5" s="1"/>
  <c r="J4" i="5"/>
  <c r="K4" i="5" s="1"/>
  <c r="J24" i="5"/>
  <c r="J26" i="5"/>
  <c r="K26" i="5" s="1"/>
  <c r="J62" i="5"/>
  <c r="K62" i="5" s="1"/>
  <c r="J7" i="5"/>
  <c r="K7" i="5" s="1"/>
  <c r="J53" i="5"/>
  <c r="K53" i="5" s="1"/>
  <c r="J29" i="5"/>
  <c r="K29" i="5" s="1"/>
  <c r="J111" i="5" l="1"/>
  <c r="K111" i="5" s="1"/>
  <c r="L130" i="5"/>
  <c r="E11" i="4" s="1"/>
  <c r="K130" i="5"/>
  <c r="L111" i="5"/>
  <c r="K98" i="5"/>
  <c r="L92" i="5"/>
  <c r="K92" i="5"/>
  <c r="K78" i="5"/>
  <c r="D19" i="5"/>
  <c r="I19" i="5" s="1"/>
  <c r="I20" i="5" s="1"/>
  <c r="J54" i="5"/>
  <c r="K54" i="5" s="1"/>
  <c r="E36" i="5" s="1"/>
  <c r="D36" i="5"/>
  <c r="I36" i="5" s="1"/>
  <c r="L54" i="5"/>
  <c r="K43" i="5"/>
  <c r="J73" i="5"/>
  <c r="K73" i="5" s="1"/>
  <c r="E19" i="5" s="1"/>
  <c r="J19" i="5" s="1"/>
  <c r="K19" i="5" s="1"/>
  <c r="K24" i="5"/>
  <c r="E10" i="4" l="1"/>
  <c r="I6" i="4" s="1"/>
  <c r="V9" i="5"/>
  <c r="J36" i="5"/>
  <c r="J37" i="5" s="1"/>
  <c r="I37" i="5"/>
  <c r="L20" i="5"/>
  <c r="R4" i="5" s="1"/>
  <c r="J6" i="4" l="1"/>
  <c r="F14" i="4"/>
  <c r="K36" i="5"/>
  <c r="Q17" i="5"/>
  <c r="K37" i="5"/>
  <c r="E10" i="5" s="1"/>
  <c r="J10" i="5" s="1"/>
  <c r="D10" i="5"/>
  <c r="K10" i="5" l="1"/>
  <c r="J20" i="5"/>
  <c r="K20" i="5" s="1"/>
  <c r="F15" i="4" l="1"/>
  <c r="I14" i="4" l="1"/>
  <c r="J14" i="4"/>
</calcChain>
</file>

<file path=xl/sharedStrings.xml><?xml version="1.0" encoding="utf-8"?>
<sst xmlns="http://schemas.openxmlformats.org/spreadsheetml/2006/main" count="164" uniqueCount="43">
  <si>
    <t>A</t>
  </si>
  <si>
    <t>Carga</t>
  </si>
  <si>
    <t>x</t>
  </si>
  <si>
    <t>y</t>
  </si>
  <si>
    <t>i</t>
  </si>
  <si>
    <t>m</t>
  </si>
  <si>
    <t>m.A^2</t>
  </si>
  <si>
    <t>j</t>
  </si>
  <si>
    <t>Imq</t>
  </si>
  <si>
    <t>Imq^2</t>
  </si>
  <si>
    <t>CENTRO DE CARGAS - SIMULAÇÃO</t>
  </si>
  <si>
    <t>A^2</t>
  </si>
  <si>
    <t>QP1.1</t>
  </si>
  <si>
    <t>QEG</t>
  </si>
  <si>
    <t>QP1</t>
  </si>
  <si>
    <t>QP2</t>
  </si>
  <si>
    <t>QP3</t>
  </si>
  <si>
    <t>QP4</t>
  </si>
  <si>
    <t>QP5</t>
  </si>
  <si>
    <t>QP6</t>
  </si>
  <si>
    <t>AMP</t>
  </si>
  <si>
    <t>INTENSIDADE</t>
  </si>
  <si>
    <t>Balanço de Potência</t>
  </si>
  <si>
    <t>Exemplo (diagrama de QE)</t>
  </si>
  <si>
    <t>Equipamento</t>
  </si>
  <si>
    <t>Nº Equi.</t>
  </si>
  <si>
    <t>Pun (kW)</t>
  </si>
  <si>
    <r>
      <t xml:space="preserve">cos </t>
    </r>
    <r>
      <rPr>
        <sz val="11"/>
        <color theme="1"/>
        <rFont val="Symbol"/>
        <family val="1"/>
        <charset val="2"/>
      </rPr>
      <t>j</t>
    </r>
  </si>
  <si>
    <t>Ku</t>
  </si>
  <si>
    <t>Ks</t>
  </si>
  <si>
    <t>Ke</t>
  </si>
  <si>
    <t>P (kW)</t>
  </si>
  <si>
    <t>Q (kvar)</t>
  </si>
  <si>
    <t>S (kVA)</t>
  </si>
  <si>
    <t>QGE</t>
  </si>
  <si>
    <t>Iluminação</t>
  </si>
  <si>
    <t>Tomadas monofásicas</t>
  </si>
  <si>
    <t>Tomadas trifásicas</t>
  </si>
  <si>
    <t>Máquina tipo 1</t>
  </si>
  <si>
    <t>Máquina tipo 2</t>
  </si>
  <si>
    <t>Parcial</t>
  </si>
  <si>
    <t>Máquina tipo 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</si>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</sst>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 diagonalUp="1">
      <left/>
      <right style="medium">
        <color indexed="64"/>
      </right>
      <top style="medium">
        <color indexed="64"/>
      </top>
      <bottom/>
      <diagonal style="medium">
        <color indexed="64"/>
      </diagonal>
    </border>
    <border>
      <left style="medium">
        <color indexed="64"/>
      </left>
      <right/>
      <top/>
      <bottom/>
      <diagonal/>
    </border>
    <border diagonalUp="1">
      <left/>
      <right/>
      <top/>
      <bottom/>
      <diagonal style="medium">
        <color auto="1"/>
      </diagonal>
    </border>
    <border>
      <left/>
      <right style="medium">
        <color indexed="64"/>
      </right>
      <top/>
      <bottom/>
      <diagonal/>
    </border>
    <border diagonalUp="1">
      <left style="medium">
        <color indexed="64"/>
      </left>
      <right/>
      <top/>
      <bottom style="medium">
        <color indexed="64"/>
      </bottom>
      <diagonal style="medium">
        <color indexed="64"/>
      </diagonal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 applyAlignment="1">
      <alignment horizontal="center"/>
    </xf>
    <xf numFmtId="0" fontId="2" fillId="0" borderId="0" xfId="0" applyFont="1"/>
    <xf numFmtId="0" fontId="0" fillId="3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2" fontId="1" fillId="2" borderId="6" xfId="0" applyNumberFormat="1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0" borderId="0" xfId="0" applyFont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0" fillId="0" borderId="8" xfId="0" applyBorder="1"/>
    <xf numFmtId="0" fontId="0" fillId="0" borderId="1" xfId="0" applyBorder="1"/>
    <xf numFmtId="2" fontId="0" fillId="0" borderId="1" xfId="0" applyNumberFormat="1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2" borderId="1" xfId="0" applyFill="1" applyBorder="1" applyAlignment="1">
      <alignment horizontal="center"/>
    </xf>
    <xf numFmtId="2" fontId="1" fillId="0" borderId="1" xfId="0" applyNumberFormat="1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1" fillId="0" borderId="0" xfId="0" applyNumberFormat="1" applyFont="1"/>
    <xf numFmtId="1" fontId="0" fillId="2" borderId="0" xfId="0" applyNumberFormat="1" applyFill="1"/>
    <xf numFmtId="1" fontId="0" fillId="2" borderId="8" xfId="0" applyNumberFormat="1" applyFill="1" applyBorder="1"/>
    <xf numFmtId="0" fontId="0" fillId="2" borderId="10" xfId="0" applyFill="1" applyBorder="1"/>
    <xf numFmtId="0" fontId="0" fillId="2" borderId="14" xfId="0" applyFill="1" applyBorder="1"/>
    <xf numFmtId="0" fontId="0" fillId="2" borderId="16" xfId="0" applyFill="1" applyBorder="1"/>
    <xf numFmtId="0" fontId="0" fillId="2" borderId="9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5" xfId="0" applyFill="1" applyBorder="1"/>
    <xf numFmtId="0" fontId="0" fillId="0" borderId="0" xfId="0" applyFill="1"/>
    <xf numFmtId="1" fontId="0" fillId="0" borderId="0" xfId="0" applyNumberFormat="1" applyFill="1"/>
    <xf numFmtId="0" fontId="0" fillId="2" borderId="20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2" fontId="1" fillId="0" borderId="20" xfId="0" applyNumberFormat="1" applyFont="1" applyBorder="1"/>
    <xf numFmtId="0" fontId="0" fillId="2" borderId="2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0" borderId="2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888888888888891E-2"/>
          <c:y val="5.1400554097404488E-2"/>
          <c:w val="0.92696480053069352"/>
          <c:h val="0.89719889180519119"/>
        </c:manualLayout>
      </c:layout>
      <c:scatterChart>
        <c:scatterStyle val="lineMarker"/>
        <c:varyColors val="0"/>
        <c:ser>
          <c:idx val="0"/>
          <c:order val="0"/>
          <c:tx>
            <c:v>Cargas</c:v>
          </c:tx>
          <c:spPr>
            <a:ln w="28575">
              <a:noFill/>
            </a:ln>
          </c:spPr>
          <c:marker>
            <c:symbol val="diamond"/>
            <c:size val="17"/>
            <c:spPr>
              <a:solidFill>
                <a:srgbClr val="FFFF00"/>
              </a:solidFill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QEG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1A-4E56-B1BF-2BC28A662E0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QP1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41A-4E56-B1BF-2BC28A662E0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QP2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1A-4E56-B1BF-2BC28A662E0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QP3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41A-4E56-B1BF-2BC28A662E0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QP4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41A-4E56-B1BF-2BC28A662E0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QP5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41A-4E56-B1BF-2BC28A662E0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QP6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41A-4E56-B1BF-2BC28A662E0C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'CENTRO DE CARGAS'!$F$5:$F$11</c:f>
              <c:numCache>
                <c:formatCode>General</c:formatCode>
                <c:ptCount val="7"/>
                <c:pt idx="0">
                  <c:v>10</c:v>
                </c:pt>
                <c:pt idx="1">
                  <c:v>-20</c:v>
                </c:pt>
                <c:pt idx="2">
                  <c:v>-4</c:v>
                </c:pt>
                <c:pt idx="3">
                  <c:v>50</c:v>
                </c:pt>
                <c:pt idx="4">
                  <c:v>70</c:v>
                </c:pt>
                <c:pt idx="5">
                  <c:v>-35</c:v>
                </c:pt>
                <c:pt idx="6">
                  <c:v>-44</c:v>
                </c:pt>
              </c:numCache>
            </c:numRef>
          </c:xVal>
          <c:yVal>
            <c:numRef>
              <c:f>'CENTRO DE CARGAS'!$G$5:$G$11</c:f>
              <c:numCache>
                <c:formatCode>General</c:formatCode>
                <c:ptCount val="7"/>
                <c:pt idx="0">
                  <c:v>30</c:v>
                </c:pt>
                <c:pt idx="1">
                  <c:v>30</c:v>
                </c:pt>
                <c:pt idx="2">
                  <c:v>20</c:v>
                </c:pt>
                <c:pt idx="3">
                  <c:v>-10</c:v>
                </c:pt>
                <c:pt idx="4">
                  <c:v>-50</c:v>
                </c:pt>
                <c:pt idx="5">
                  <c:v>-20</c:v>
                </c:pt>
                <c:pt idx="6">
                  <c:v>-70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1A-4E56-B1BF-2BC28A662E0C}"/>
            </c:ext>
          </c:extLst>
        </c:ser>
        <c:ser>
          <c:idx val="1"/>
          <c:order val="1"/>
          <c:tx>
            <c:v>Centro de Cargas</c:v>
          </c:tx>
          <c:spPr>
            <a:ln w="28575">
              <a:noFill/>
            </a:ln>
          </c:spPr>
          <c:marker>
            <c:symbol val="circle"/>
            <c:size val="12"/>
            <c:spPr>
              <a:solidFill>
                <a:srgbClr val="00B0F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CENTRO DE CARGA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41A-4E56-B1BF-2BC28A662E0C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'CENTRO DE CARGAS'!$I$14</c:f>
              <c:numCache>
                <c:formatCode>0.00</c:formatCode>
                <c:ptCount val="1"/>
                <c:pt idx="0">
                  <c:v>15.34691788640747</c:v>
                </c:pt>
              </c:numCache>
            </c:numRef>
          </c:xVal>
          <c:yVal>
            <c:numRef>
              <c:f>'CENTRO DE CARGAS'!$J$14</c:f>
              <c:numCache>
                <c:formatCode>0.00</c:formatCode>
                <c:ptCount val="1"/>
                <c:pt idx="0">
                  <c:v>11.30921016678252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1A-4E56-B1BF-2BC28A662E0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0533760"/>
        <c:axId val="80543744"/>
      </c:scatterChart>
      <c:valAx>
        <c:axId val="80533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0543744"/>
        <c:crosses val="autoZero"/>
        <c:crossBetween val="midCat"/>
      </c:valAx>
      <c:valAx>
        <c:axId val="805437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0533760"/>
        <c:crosses val="autoZero"/>
        <c:crossBetween val="midCat"/>
      </c:valAx>
      <c:spPr>
        <a:noFill/>
        <a:ln w="50800" cap="flat" cmpd="dbl">
          <a:solidFill>
            <a:srgbClr val="4F81BD"/>
          </a:solidFill>
          <a:miter lim="800000"/>
        </a:ln>
      </c:spPr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97734</xdr:colOff>
      <xdr:row>15</xdr:row>
      <xdr:rowOff>97320</xdr:rowOff>
    </xdr:from>
    <xdr:to>
      <xdr:col>14</xdr:col>
      <xdr:colOff>298175</xdr:colOff>
      <xdr:row>36</xdr:row>
      <xdr:rowOff>21121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63A1D4-BD3D-45B2-87DC-A8ABA00A8C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476250</xdr:colOff>
      <xdr:row>14</xdr:row>
      <xdr:rowOff>38100</xdr:rowOff>
    </xdr:from>
    <xdr:to>
      <xdr:col>64</xdr:col>
      <xdr:colOff>304800</xdr:colOff>
      <xdr:row>89</xdr:row>
      <xdr:rowOff>57150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CACF11F-16F1-47C7-B0BD-D8021E469011}"/>
            </a:ext>
          </a:extLst>
        </xdr:cNvPr>
        <xdr:cNvSpPr/>
      </xdr:nvSpPr>
      <xdr:spPr>
        <a:xfrm>
          <a:off x="17545050" y="1615440"/>
          <a:ext cx="15678150" cy="919353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292912</xdr:colOff>
      <xdr:row>48</xdr:row>
      <xdr:rowOff>129354</xdr:rowOff>
    </xdr:from>
    <xdr:to>
      <xdr:col>20</xdr:col>
      <xdr:colOff>114300</xdr:colOff>
      <xdr:row>53</xdr:row>
      <xdr:rowOff>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8454C7C3-47D6-4C4F-AFF5-75B5FDFAE29B}"/>
            </a:ext>
          </a:extLst>
        </xdr:cNvPr>
        <xdr:cNvSpPr/>
      </xdr:nvSpPr>
      <xdr:spPr>
        <a:xfrm>
          <a:off x="10789462" y="9349554"/>
          <a:ext cx="1345388" cy="82314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ES" sz="4000" b="1">
              <a:solidFill>
                <a:schemeClr val="lt1"/>
              </a:solidFill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18</xdr:col>
      <xdr:colOff>203607</xdr:colOff>
      <xdr:row>37</xdr:row>
      <xdr:rowOff>26893</xdr:rowOff>
    </xdr:from>
    <xdr:to>
      <xdr:col>22</xdr:col>
      <xdr:colOff>108455</xdr:colOff>
      <xdr:row>48</xdr:row>
      <xdr:rowOff>129354</xdr:rowOff>
    </xdr:to>
    <xdr:cxnSp macro="">
      <xdr:nvCxnSpPr>
        <xdr:cNvPr id="6" name="Conexão: Ângulo Reto 5">
          <a:extLst>
            <a:ext uri="{FF2B5EF4-FFF2-40B4-BE49-F238E27FC236}">
              <a16:creationId xmlns:a16="http://schemas.microsoft.com/office/drawing/2014/main" id="{D44B7CD4-EF96-49D4-8688-691B457136AB}"/>
            </a:ext>
          </a:extLst>
        </xdr:cNvPr>
        <xdr:cNvCxnSpPr>
          <a:stCxn id="4" idx="0"/>
          <a:endCxn id="10" idx="2"/>
        </xdr:cNvCxnSpPr>
      </xdr:nvCxnSpPr>
      <xdr:spPr>
        <a:xfrm rot="5400000" flipH="1" flipV="1">
          <a:off x="11049025" y="7564725"/>
          <a:ext cx="2197961" cy="137169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36493</xdr:colOff>
      <xdr:row>32</xdr:row>
      <xdr:rowOff>114884</xdr:rowOff>
    </xdr:from>
    <xdr:to>
      <xdr:col>24</xdr:col>
      <xdr:colOff>237564</xdr:colOff>
      <xdr:row>37</xdr:row>
      <xdr:rowOff>26893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5BDB3FD9-E02A-4BEA-B3BE-2AAFDD626AF8}"/>
            </a:ext>
          </a:extLst>
        </xdr:cNvPr>
        <xdr:cNvSpPr/>
      </xdr:nvSpPr>
      <xdr:spPr>
        <a:xfrm>
          <a:off x="12057043" y="6287084"/>
          <a:ext cx="1553621" cy="86450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4000"/>
            <a:t>QEG</a:t>
          </a:r>
        </a:p>
      </xdr:txBody>
    </xdr:sp>
    <xdr:clientData/>
  </xdr:twoCellAnchor>
  <xdr:twoCellAnchor>
    <xdr:from>
      <xdr:col>37</xdr:col>
      <xdr:colOff>0</xdr:colOff>
      <xdr:row>56</xdr:row>
      <xdr:rowOff>38100</xdr:rowOff>
    </xdr:from>
    <xdr:to>
      <xdr:col>66</xdr:col>
      <xdr:colOff>342900</xdr:colOff>
      <xdr:row>56</xdr:row>
      <xdr:rowOff>76200</xdr:rowOff>
    </xdr:to>
    <xdr:cxnSp macro="">
      <xdr:nvCxnSpPr>
        <xdr:cNvPr id="11" name="Conexão reta 10">
          <a:extLst>
            <a:ext uri="{FF2B5EF4-FFF2-40B4-BE49-F238E27FC236}">
              <a16:creationId xmlns:a16="http://schemas.microsoft.com/office/drawing/2014/main" id="{8BB8961A-AA36-4924-B2E0-6FDD7739B0B8}"/>
            </a:ext>
          </a:extLst>
        </xdr:cNvPr>
        <xdr:cNvCxnSpPr/>
      </xdr:nvCxnSpPr>
      <xdr:spPr>
        <a:xfrm flipV="1">
          <a:off x="16459200" y="6217920"/>
          <a:ext cx="18021300" cy="38100"/>
        </a:xfrm>
        <a:prstGeom prst="line">
          <a:avLst/>
        </a:prstGeom>
        <a:ln w="762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390525</xdr:colOff>
      <xdr:row>3</xdr:row>
      <xdr:rowOff>76200</xdr:rowOff>
    </xdr:from>
    <xdr:to>
      <xdr:col>51</xdr:col>
      <xdr:colOff>390525</xdr:colOff>
      <xdr:row>94</xdr:row>
      <xdr:rowOff>171450</xdr:rowOff>
    </xdr:to>
    <xdr:cxnSp macro="">
      <xdr:nvCxnSpPr>
        <xdr:cNvPr id="12" name="Conexão reta 11">
          <a:extLst>
            <a:ext uri="{FF2B5EF4-FFF2-40B4-BE49-F238E27FC236}">
              <a16:creationId xmlns:a16="http://schemas.microsoft.com/office/drawing/2014/main" id="{7F85DF09-29F9-41D6-810F-16EEE69D237F}"/>
            </a:ext>
          </a:extLst>
        </xdr:cNvPr>
        <xdr:cNvCxnSpPr/>
      </xdr:nvCxnSpPr>
      <xdr:spPr>
        <a:xfrm>
          <a:off x="25384125" y="723900"/>
          <a:ext cx="0" cy="11113770"/>
        </a:xfrm>
        <a:prstGeom prst="line">
          <a:avLst/>
        </a:prstGeom>
        <a:ln w="762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361950</xdr:colOff>
      <xdr:row>50</xdr:row>
      <xdr:rowOff>133350</xdr:rowOff>
    </xdr:from>
    <xdr:to>
      <xdr:col>37</xdr:col>
      <xdr:colOff>400050</xdr:colOff>
      <xdr:row>56</xdr:row>
      <xdr:rowOff>38100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21612715-96E8-42D2-BBDB-BA24CDF0377E}"/>
            </a:ext>
          </a:extLst>
        </xdr:cNvPr>
        <xdr:cNvSpPr txBox="1"/>
      </xdr:nvSpPr>
      <xdr:spPr>
        <a:xfrm>
          <a:off x="19259550" y="9734550"/>
          <a:ext cx="1866900" cy="1047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4400"/>
            <a:t>-100</a:t>
          </a:r>
        </a:p>
      </xdr:txBody>
    </xdr:sp>
    <xdr:clientData/>
  </xdr:twoCellAnchor>
  <xdr:twoCellAnchor>
    <xdr:from>
      <xdr:col>65</xdr:col>
      <xdr:colOff>76200</xdr:colOff>
      <xdr:row>50</xdr:row>
      <xdr:rowOff>38100</xdr:rowOff>
    </xdr:from>
    <xdr:to>
      <xdr:col>67</xdr:col>
      <xdr:colOff>190500</xdr:colOff>
      <xdr:row>56</xdr:row>
      <xdr:rowOff>38100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535D522F-23A4-49E7-98CF-3BD4E20C6072}"/>
            </a:ext>
          </a:extLst>
        </xdr:cNvPr>
        <xdr:cNvSpPr txBox="1"/>
      </xdr:nvSpPr>
      <xdr:spPr>
        <a:xfrm>
          <a:off x="37871400" y="9639300"/>
          <a:ext cx="133350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4400"/>
            <a:t>+100</a:t>
          </a:r>
        </a:p>
      </xdr:txBody>
    </xdr:sp>
    <xdr:clientData/>
  </xdr:twoCellAnchor>
  <xdr:twoCellAnchor>
    <xdr:from>
      <xdr:col>51</xdr:col>
      <xdr:colOff>457200</xdr:colOff>
      <xdr:row>3</xdr:row>
      <xdr:rowOff>38100</xdr:rowOff>
    </xdr:from>
    <xdr:to>
      <xdr:col>54</xdr:col>
      <xdr:colOff>285750</xdr:colOff>
      <xdr:row>7</xdr:row>
      <xdr:rowOff>95250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5B231481-C74F-4D56-9827-63BAFE98D1C1}"/>
            </a:ext>
          </a:extLst>
        </xdr:cNvPr>
        <xdr:cNvSpPr txBox="1"/>
      </xdr:nvSpPr>
      <xdr:spPr>
        <a:xfrm>
          <a:off x="25450800" y="685800"/>
          <a:ext cx="1657350" cy="8039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4400"/>
            <a:t>+100</a:t>
          </a:r>
        </a:p>
      </xdr:txBody>
    </xdr:sp>
    <xdr:clientData/>
  </xdr:twoCellAnchor>
  <xdr:twoCellAnchor>
    <xdr:from>
      <xdr:col>52</xdr:col>
      <xdr:colOff>19050</xdr:colOff>
      <xdr:row>90</xdr:row>
      <xdr:rowOff>114300</xdr:rowOff>
    </xdr:from>
    <xdr:to>
      <xdr:col>54</xdr:col>
      <xdr:colOff>361950</xdr:colOff>
      <xdr:row>94</xdr:row>
      <xdr:rowOff>171450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7B70DFFB-B5F3-4354-8D45-9587F6DDD03D}"/>
            </a:ext>
          </a:extLst>
        </xdr:cNvPr>
        <xdr:cNvSpPr txBox="1"/>
      </xdr:nvSpPr>
      <xdr:spPr>
        <a:xfrm>
          <a:off x="25622250" y="11049000"/>
          <a:ext cx="1562100" cy="788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4400"/>
            <a:t>-100</a:t>
          </a:r>
        </a:p>
      </xdr:txBody>
    </xdr:sp>
    <xdr:clientData/>
  </xdr:twoCellAnchor>
  <xdr:twoCellAnchor>
    <xdr:from>
      <xdr:col>21</xdr:col>
      <xdr:colOff>121462</xdr:colOff>
      <xdr:row>48</xdr:row>
      <xdr:rowOff>129354</xdr:rowOff>
    </xdr:from>
    <xdr:to>
      <xdr:col>25</xdr:col>
      <xdr:colOff>171450</xdr:colOff>
      <xdr:row>53</xdr:row>
      <xdr:rowOff>0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68F8E431-885D-49EB-B11A-9B639BD146BA}"/>
            </a:ext>
          </a:extLst>
        </xdr:cNvPr>
        <xdr:cNvSpPr/>
      </xdr:nvSpPr>
      <xdr:spPr>
        <a:xfrm>
          <a:off x="12523012" y="9349554"/>
          <a:ext cx="1345388" cy="82314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ES" sz="4000" b="1">
              <a:solidFill>
                <a:schemeClr val="lt1"/>
              </a:solidFill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26</xdr:col>
      <xdr:colOff>597712</xdr:colOff>
      <xdr:row>37</xdr:row>
      <xdr:rowOff>64040</xdr:rowOff>
    </xdr:from>
    <xdr:to>
      <xdr:col>29</xdr:col>
      <xdr:colOff>114300</xdr:colOff>
      <xdr:row>41</xdr:row>
      <xdr:rowOff>125186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00C5EAEA-80E7-46AC-B226-E172281BA3F0}"/>
            </a:ext>
          </a:extLst>
        </xdr:cNvPr>
        <xdr:cNvSpPr/>
      </xdr:nvSpPr>
      <xdr:spPr>
        <a:xfrm>
          <a:off x="14564083" y="7107097"/>
          <a:ext cx="1345388" cy="801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ES" sz="4000" b="1">
              <a:solidFill>
                <a:schemeClr val="lt1"/>
              </a:solidFill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29</xdr:col>
      <xdr:colOff>586826</xdr:colOff>
      <xdr:row>37</xdr:row>
      <xdr:rowOff>34104</xdr:rowOff>
    </xdr:from>
    <xdr:to>
      <xdr:col>32</xdr:col>
      <xdr:colOff>103414</xdr:colOff>
      <xdr:row>41</xdr:row>
      <xdr:rowOff>95250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2D8C5010-4600-4701-B5EF-A4CF4768FF56}"/>
            </a:ext>
          </a:extLst>
        </xdr:cNvPr>
        <xdr:cNvSpPr/>
      </xdr:nvSpPr>
      <xdr:spPr>
        <a:xfrm>
          <a:off x="16381997" y="7077161"/>
          <a:ext cx="1345388" cy="801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ES" sz="4000" b="1">
              <a:solidFill>
                <a:schemeClr val="lt1"/>
              </a:solidFill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22</xdr:col>
      <xdr:colOff>209553</xdr:colOff>
      <xdr:row>37</xdr:row>
      <xdr:rowOff>133352</xdr:rowOff>
    </xdr:from>
    <xdr:to>
      <xdr:col>23</xdr:col>
      <xdr:colOff>146456</xdr:colOff>
      <xdr:row>48</xdr:row>
      <xdr:rowOff>129354</xdr:rowOff>
    </xdr:to>
    <xdr:cxnSp macro="">
      <xdr:nvCxnSpPr>
        <xdr:cNvPr id="29" name="Conexão: Ângulo Reto 28">
          <a:extLst>
            <a:ext uri="{FF2B5EF4-FFF2-40B4-BE49-F238E27FC236}">
              <a16:creationId xmlns:a16="http://schemas.microsoft.com/office/drawing/2014/main" id="{6CDAF749-7251-4356-B59F-3175EC1EC68C}"/>
            </a:ext>
          </a:extLst>
        </xdr:cNvPr>
        <xdr:cNvCxnSpPr>
          <a:stCxn id="24" idx="0"/>
        </xdr:cNvCxnSpPr>
      </xdr:nvCxnSpPr>
      <xdr:spPr>
        <a:xfrm rot="16200000" flipV="1">
          <a:off x="12019579" y="8173426"/>
          <a:ext cx="2091502" cy="260753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237564</xdr:colOff>
      <xdr:row>34</xdr:row>
      <xdr:rowOff>163417</xdr:rowOff>
    </xdr:from>
    <xdr:to>
      <xdr:col>28</xdr:col>
      <xdr:colOff>51206</xdr:colOff>
      <xdr:row>37</xdr:row>
      <xdr:rowOff>64040</xdr:rowOff>
    </xdr:to>
    <xdr:cxnSp macro="">
      <xdr:nvCxnSpPr>
        <xdr:cNvPr id="32" name="Conexão: Ângulo Reto 31">
          <a:extLst>
            <a:ext uri="{FF2B5EF4-FFF2-40B4-BE49-F238E27FC236}">
              <a16:creationId xmlns:a16="http://schemas.microsoft.com/office/drawing/2014/main" id="{7B631114-59A5-4D3D-B0FA-5437D4226DD5}"/>
            </a:ext>
          </a:extLst>
        </xdr:cNvPr>
        <xdr:cNvCxnSpPr>
          <a:stCxn id="25" idx="0"/>
          <a:endCxn id="10" idx="3"/>
        </xdr:cNvCxnSpPr>
      </xdr:nvCxnSpPr>
      <xdr:spPr>
        <a:xfrm rot="16200000" flipV="1">
          <a:off x="14176774" y="6047093"/>
          <a:ext cx="455794" cy="1664213"/>
        </a:xfrm>
        <a:prstGeom prst="bentConnector2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237564</xdr:colOff>
      <xdr:row>34</xdr:row>
      <xdr:rowOff>163417</xdr:rowOff>
    </xdr:from>
    <xdr:to>
      <xdr:col>31</xdr:col>
      <xdr:colOff>40320</xdr:colOff>
      <xdr:row>37</xdr:row>
      <xdr:rowOff>34104</xdr:rowOff>
    </xdr:to>
    <xdr:cxnSp macro="">
      <xdr:nvCxnSpPr>
        <xdr:cNvPr id="35" name="Conexão: Ângulo Reto 34">
          <a:extLst>
            <a:ext uri="{FF2B5EF4-FFF2-40B4-BE49-F238E27FC236}">
              <a16:creationId xmlns:a16="http://schemas.microsoft.com/office/drawing/2014/main" id="{3E6A32D3-95F2-4CAE-9F62-E44FA78DFF15}"/>
            </a:ext>
          </a:extLst>
        </xdr:cNvPr>
        <xdr:cNvCxnSpPr>
          <a:stCxn id="27" idx="0"/>
          <a:endCxn id="10" idx="3"/>
        </xdr:cNvCxnSpPr>
      </xdr:nvCxnSpPr>
      <xdr:spPr>
        <a:xfrm rot="16200000" flipV="1">
          <a:off x="15100699" y="5123168"/>
          <a:ext cx="425858" cy="3482127"/>
        </a:xfrm>
        <a:prstGeom prst="bentConnector2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597712</xdr:colOff>
      <xdr:row>45</xdr:row>
      <xdr:rowOff>91254</xdr:rowOff>
    </xdr:from>
    <xdr:to>
      <xdr:col>29</xdr:col>
      <xdr:colOff>114300</xdr:colOff>
      <xdr:row>49</xdr:row>
      <xdr:rowOff>152400</xdr:rowOff>
    </xdr:to>
    <xdr:sp macro="" textlink="">
      <xdr:nvSpPr>
        <xdr:cNvPr id="44" name="Retângulo 43">
          <a:extLst>
            <a:ext uri="{FF2B5EF4-FFF2-40B4-BE49-F238E27FC236}">
              <a16:creationId xmlns:a16="http://schemas.microsoft.com/office/drawing/2014/main" id="{9EC1736E-7C9F-491F-B83D-666F473C452E}"/>
            </a:ext>
          </a:extLst>
        </xdr:cNvPr>
        <xdr:cNvSpPr/>
      </xdr:nvSpPr>
      <xdr:spPr>
        <a:xfrm>
          <a:off x="14618512" y="8739954"/>
          <a:ext cx="1345388" cy="82314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ES" sz="4000" b="1">
              <a:solidFill>
                <a:schemeClr val="lt1"/>
              </a:solidFill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30</xdr:col>
      <xdr:colOff>26212</xdr:colOff>
      <xdr:row>45</xdr:row>
      <xdr:rowOff>91254</xdr:rowOff>
    </xdr:from>
    <xdr:to>
      <xdr:col>32</xdr:col>
      <xdr:colOff>152400</xdr:colOff>
      <xdr:row>49</xdr:row>
      <xdr:rowOff>152400</xdr:rowOff>
    </xdr:to>
    <xdr:sp macro="" textlink="">
      <xdr:nvSpPr>
        <xdr:cNvPr id="45" name="Retângulo 44">
          <a:extLst>
            <a:ext uri="{FF2B5EF4-FFF2-40B4-BE49-F238E27FC236}">
              <a16:creationId xmlns:a16="http://schemas.microsoft.com/office/drawing/2014/main" id="{E4890BF5-9B1E-43A3-B474-961A42338B06}"/>
            </a:ext>
          </a:extLst>
        </xdr:cNvPr>
        <xdr:cNvSpPr/>
      </xdr:nvSpPr>
      <xdr:spPr>
        <a:xfrm>
          <a:off x="16485412" y="8739954"/>
          <a:ext cx="1345388" cy="82314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ES" sz="4000" b="1">
              <a:solidFill>
                <a:schemeClr val="lt1"/>
              </a:solidFill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22</xdr:col>
      <xdr:colOff>108455</xdr:colOff>
      <xdr:row>37</xdr:row>
      <xdr:rowOff>26893</xdr:rowOff>
    </xdr:from>
    <xdr:to>
      <xdr:col>31</xdr:col>
      <xdr:colOff>89307</xdr:colOff>
      <xdr:row>45</xdr:row>
      <xdr:rowOff>91254</xdr:rowOff>
    </xdr:to>
    <xdr:cxnSp macro="">
      <xdr:nvCxnSpPr>
        <xdr:cNvPr id="46" name="Conexão: Ângulo Reto 45">
          <a:extLst>
            <a:ext uri="{FF2B5EF4-FFF2-40B4-BE49-F238E27FC236}">
              <a16:creationId xmlns:a16="http://schemas.microsoft.com/office/drawing/2014/main" id="{A203837F-8D00-46CB-B550-A5E87AC574A8}"/>
            </a:ext>
          </a:extLst>
        </xdr:cNvPr>
        <xdr:cNvCxnSpPr>
          <a:cxnSpLocks/>
          <a:stCxn id="45" idx="0"/>
          <a:endCxn id="10" idx="2"/>
        </xdr:cNvCxnSpPr>
      </xdr:nvCxnSpPr>
      <xdr:spPr>
        <a:xfrm rot="16200000" flipV="1">
          <a:off x="14201800" y="5783648"/>
          <a:ext cx="1588361" cy="4324252"/>
        </a:xfrm>
        <a:prstGeom prst="bentConnector3">
          <a:avLst>
            <a:gd name="adj1" fmla="val 20016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108455</xdr:colOff>
      <xdr:row>37</xdr:row>
      <xdr:rowOff>26893</xdr:rowOff>
    </xdr:from>
    <xdr:to>
      <xdr:col>28</xdr:col>
      <xdr:colOff>51207</xdr:colOff>
      <xdr:row>45</xdr:row>
      <xdr:rowOff>91254</xdr:rowOff>
    </xdr:to>
    <xdr:cxnSp macro="">
      <xdr:nvCxnSpPr>
        <xdr:cNvPr id="49" name="Conexão: Ângulo Reto 48">
          <a:extLst>
            <a:ext uri="{FF2B5EF4-FFF2-40B4-BE49-F238E27FC236}">
              <a16:creationId xmlns:a16="http://schemas.microsoft.com/office/drawing/2014/main" id="{C6FDBD37-BDE1-47B9-AF90-ED93CFF21B45}"/>
            </a:ext>
          </a:extLst>
        </xdr:cNvPr>
        <xdr:cNvCxnSpPr>
          <a:stCxn id="44" idx="0"/>
          <a:endCxn id="10" idx="2"/>
        </xdr:cNvCxnSpPr>
      </xdr:nvCxnSpPr>
      <xdr:spPr>
        <a:xfrm rot="16200000" flipV="1">
          <a:off x="13268350" y="6717098"/>
          <a:ext cx="1588361" cy="2457352"/>
        </a:xfrm>
        <a:prstGeom prst="bentConnector3">
          <a:avLst>
            <a:gd name="adj1" fmla="val 3440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7F191-E477-422F-9A81-46124CCF505F}">
  <dimension ref="C1:J15"/>
  <sheetViews>
    <sheetView tabSelected="1" zoomScale="115" zoomScaleNormal="115" workbookViewId="0">
      <selection activeCell="L9" sqref="L9"/>
    </sheetView>
  </sheetViews>
  <sheetFormatPr defaultRowHeight="14.4" x14ac:dyDescent="0.3"/>
  <cols>
    <col min="3" max="3" width="3.88671875" customWidth="1"/>
    <col min="5" max="5" width="12.21875" bestFit="1" customWidth="1"/>
    <col min="6" max="6" width="9.33203125" bestFit="1" customWidth="1"/>
    <col min="9" max="9" width="12" bestFit="1" customWidth="1"/>
    <col min="10" max="10" width="10.88671875" bestFit="1" customWidth="1"/>
  </cols>
  <sheetData>
    <row r="1" spans="3:10" ht="25.8" x14ac:dyDescent="0.5">
      <c r="C1" s="2" t="s">
        <v>10</v>
      </c>
    </row>
    <row r="3" spans="3:10" x14ac:dyDescent="0.3">
      <c r="E3" s="1" t="s">
        <v>20</v>
      </c>
      <c r="F3" s="10" t="s">
        <v>5</v>
      </c>
      <c r="G3" s="10" t="s">
        <v>5</v>
      </c>
    </row>
    <row r="4" spans="3:10" x14ac:dyDescent="0.3">
      <c r="D4" s="14" t="s">
        <v>1</v>
      </c>
      <c r="E4" s="14" t="s">
        <v>21</v>
      </c>
      <c r="F4" s="14" t="s">
        <v>2</v>
      </c>
      <c r="G4" s="14" t="s">
        <v>3</v>
      </c>
      <c r="I4" s="1" t="s">
        <v>4</v>
      </c>
      <c r="J4" s="1" t="s">
        <v>7</v>
      </c>
    </row>
    <row r="5" spans="3:10" x14ac:dyDescent="0.3">
      <c r="D5" s="1" t="s">
        <v>13</v>
      </c>
      <c r="E5" s="49">
        <f>bal_pot_exemplo!L20</f>
        <v>1068.1780000000001</v>
      </c>
      <c r="F5" s="3">
        <v>10</v>
      </c>
      <c r="G5" s="3">
        <v>30</v>
      </c>
      <c r="I5" s="1" t="s">
        <v>6</v>
      </c>
      <c r="J5" s="1" t="s">
        <v>6</v>
      </c>
    </row>
    <row r="6" spans="3:10" x14ac:dyDescent="0.3">
      <c r="D6" s="1" t="s">
        <v>14</v>
      </c>
      <c r="E6" s="49">
        <f>bal_pot_exemplo!L37</f>
        <v>154.06</v>
      </c>
      <c r="F6" s="3">
        <v>-20</v>
      </c>
      <c r="G6" s="3">
        <v>30</v>
      </c>
      <c r="I6" s="12">
        <f>F5*E5^2+F6*E6^2+F7*E7^2+F8*E8^2+F9*E9^2+F10*E10^2+F11*E11</f>
        <v>29768467.184439998</v>
      </c>
      <c r="J6" s="12">
        <f>G5*E5^2+G6*E6^2+G7*E7^2+G8*E8^2+G9*E9^2+G10*E10^2+G11*E11</f>
        <v>21936512.218520004</v>
      </c>
    </row>
    <row r="7" spans="3:10" x14ac:dyDescent="0.3">
      <c r="D7" s="1" t="s">
        <v>15</v>
      </c>
      <c r="E7" s="49">
        <f>bal_pot_exemplo!L54</f>
        <v>66.56</v>
      </c>
      <c r="F7" s="3">
        <v>-4</v>
      </c>
      <c r="G7" s="3">
        <v>20</v>
      </c>
      <c r="I7" s="11"/>
      <c r="J7" s="11"/>
    </row>
    <row r="8" spans="3:10" x14ac:dyDescent="0.3">
      <c r="D8" s="1" t="s">
        <v>16</v>
      </c>
      <c r="E8" s="49">
        <f>bal_pot_exemplo!L73</f>
        <v>430.62</v>
      </c>
      <c r="F8" s="3">
        <v>50</v>
      </c>
      <c r="G8" s="3">
        <v>-10</v>
      </c>
      <c r="I8" s="11"/>
      <c r="J8" s="11"/>
    </row>
    <row r="9" spans="3:10" x14ac:dyDescent="0.3">
      <c r="D9" s="1" t="s">
        <v>17</v>
      </c>
      <c r="E9" s="49">
        <f>bal_pot_exemplo!L92</f>
        <v>430.62</v>
      </c>
      <c r="F9" s="3">
        <v>70</v>
      </c>
      <c r="G9" s="3">
        <v>-50</v>
      </c>
      <c r="I9" s="11"/>
      <c r="J9" s="11"/>
    </row>
    <row r="10" spans="3:10" x14ac:dyDescent="0.3">
      <c r="D10" s="1" t="s">
        <v>18</v>
      </c>
      <c r="E10" s="49">
        <f>bal_pot_exemplo!L111</f>
        <v>310.62</v>
      </c>
      <c r="F10" s="3">
        <v>-35</v>
      </c>
      <c r="G10" s="3">
        <v>-20</v>
      </c>
      <c r="I10" s="11"/>
      <c r="J10" s="11"/>
    </row>
    <row r="11" spans="3:10" ht="15" thickBot="1" x14ac:dyDescent="0.35">
      <c r="D11" s="1" t="s">
        <v>19</v>
      </c>
      <c r="E11" s="49">
        <f>bal_pot_exemplo!L130</f>
        <v>550.62</v>
      </c>
      <c r="F11" s="3">
        <v>-44</v>
      </c>
      <c r="G11" s="3">
        <v>-70</v>
      </c>
    </row>
    <row r="12" spans="3:10" x14ac:dyDescent="0.3">
      <c r="I12" s="4" t="s">
        <v>4</v>
      </c>
      <c r="J12" s="5" t="s">
        <v>7</v>
      </c>
    </row>
    <row r="13" spans="3:10" x14ac:dyDescent="0.3">
      <c r="I13" s="6" t="s">
        <v>5</v>
      </c>
      <c r="J13" s="7" t="s">
        <v>5</v>
      </c>
    </row>
    <row r="14" spans="3:10" ht="15" thickBot="1" x14ac:dyDescent="0.35">
      <c r="D14" s="1" t="s">
        <v>9</v>
      </c>
      <c r="E14" s="1" t="s">
        <v>11</v>
      </c>
      <c r="F14" s="12">
        <f>E5^2+E6^2+E7^2+E8^2+E9^2+E10^2+E11^2</f>
        <v>1939703.2944840002</v>
      </c>
      <c r="I14" s="8">
        <f>I6/F14</f>
        <v>15.34691788640747</v>
      </c>
      <c r="J14" s="9">
        <f>J6/F14</f>
        <v>11.30921016678252</v>
      </c>
    </row>
    <row r="15" spans="3:10" x14ac:dyDescent="0.3">
      <c r="D15" s="1" t="s">
        <v>8</v>
      </c>
      <c r="E15" s="1" t="s">
        <v>0</v>
      </c>
      <c r="F15" s="13">
        <f>SQRT(F14)</f>
        <v>1392.7323125726639</v>
      </c>
    </row>
  </sheetData>
  <phoneticPr fontId="4" type="noConversion"/>
  <pageMargins left="0.7" right="0.7" top="0.75" bottom="0.75" header="0.3" footer="0.3"/>
  <pageSetup paperSize="9" orientation="portrait" r:id="rId1"/>
  <headerFooter>
    <oddFooter>&amp;R&amp;1#&amp;"Arial"&amp;10&amp;K000000Confidential C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1A8A-BE9C-4F82-B059-7137F6E8E34B}">
  <sheetPr>
    <pageSetUpPr fitToPage="1"/>
  </sheetPr>
  <dimension ref="A1:AA130"/>
  <sheetViews>
    <sheetView topLeftCell="A27" zoomScale="40" zoomScaleNormal="40" workbookViewId="0">
      <selection activeCell="W68" sqref="W68"/>
    </sheetView>
  </sheetViews>
  <sheetFormatPr defaultRowHeight="14.4" x14ac:dyDescent="0.3"/>
  <cols>
    <col min="1" max="1" width="7.44140625" customWidth="1"/>
    <col min="2" max="2" width="21" customWidth="1"/>
    <col min="13" max="15" width="8.88671875" style="43"/>
    <col min="17" max="21" width="5.5546875" customWidth="1"/>
    <col min="22" max="26" width="4.6640625" customWidth="1"/>
  </cols>
  <sheetData>
    <row r="1" spans="1:27" ht="18" x14ac:dyDescent="0.35">
      <c r="A1" s="15" t="s">
        <v>22</v>
      </c>
    </row>
    <row r="2" spans="1:27" ht="18" x14ac:dyDescent="0.35">
      <c r="A2" s="15"/>
      <c r="B2" s="16" t="s">
        <v>34</v>
      </c>
      <c r="C2" s="16"/>
      <c r="D2" s="16"/>
      <c r="E2" s="16"/>
      <c r="F2" s="16"/>
      <c r="G2" s="16"/>
      <c r="H2" s="16"/>
      <c r="I2" s="16"/>
      <c r="J2" s="16"/>
      <c r="K2" s="16"/>
      <c r="P2" t="s">
        <v>23</v>
      </c>
    </row>
    <row r="3" spans="1:27" ht="15" thickBot="1" x14ac:dyDescent="0.35">
      <c r="B3" s="17" t="s">
        <v>24</v>
      </c>
      <c r="C3" s="18" t="s">
        <v>25</v>
      </c>
      <c r="D3" s="18" t="s">
        <v>26</v>
      </c>
      <c r="E3" s="18" t="s">
        <v>27</v>
      </c>
      <c r="F3" s="18" t="s">
        <v>28</v>
      </c>
      <c r="G3" s="18" t="s">
        <v>29</v>
      </c>
      <c r="H3" s="18" t="s">
        <v>30</v>
      </c>
      <c r="I3" s="18" t="s">
        <v>31</v>
      </c>
      <c r="J3" s="18" t="s">
        <v>32</v>
      </c>
      <c r="K3" s="18" t="s">
        <v>33</v>
      </c>
    </row>
    <row r="4" spans="1:27" x14ac:dyDescent="0.3">
      <c r="B4" s="20" t="s">
        <v>35</v>
      </c>
      <c r="C4" s="20">
        <v>100</v>
      </c>
      <c r="D4" s="20">
        <v>0.25</v>
      </c>
      <c r="E4" s="21">
        <v>0.8</v>
      </c>
      <c r="F4" s="20">
        <v>1</v>
      </c>
      <c r="G4" s="20">
        <v>1</v>
      </c>
      <c r="H4" s="20">
        <v>1</v>
      </c>
      <c r="I4" s="21">
        <f t="shared" ref="I4:I9" si="0">C4*D4*F4*G4*H4</f>
        <v>25</v>
      </c>
      <c r="J4" s="21">
        <f>I4*TAN(ACOS(E4))</f>
        <v>18.749999999999993</v>
      </c>
      <c r="K4" s="21">
        <f>SQRT(I4^2+J4^2)</f>
        <v>31.249999999999996</v>
      </c>
      <c r="Q4" t="s">
        <v>34</v>
      </c>
      <c r="R4" s="34">
        <f>L20</f>
        <v>1068.1780000000001</v>
      </c>
      <c r="S4" s="38"/>
      <c r="T4" s="35"/>
    </row>
    <row r="5" spans="1:27" x14ac:dyDescent="0.3">
      <c r="B5" s="20" t="s">
        <v>36</v>
      </c>
      <c r="C5" s="20">
        <v>6</v>
      </c>
      <c r="D5" s="20">
        <f>230*16/1000</f>
        <v>3.68</v>
      </c>
      <c r="E5" s="21">
        <v>1</v>
      </c>
      <c r="F5" s="20">
        <v>1</v>
      </c>
      <c r="G5" s="20">
        <v>0.3</v>
      </c>
      <c r="H5" s="20">
        <v>1</v>
      </c>
      <c r="I5" s="21">
        <f t="shared" si="0"/>
        <v>6.6240000000000006</v>
      </c>
      <c r="J5" s="21">
        <f t="shared" ref="J5:J19" si="1">I5*TAN(ACOS(E5))</f>
        <v>0</v>
      </c>
      <c r="K5" s="21">
        <f t="shared" ref="K5:K20" si="2">SQRT(I5^2+J5^2)</f>
        <v>6.6240000000000006</v>
      </c>
      <c r="R5" s="39"/>
      <c r="S5" s="40"/>
      <c r="T5" s="41"/>
    </row>
    <row r="6" spans="1:27" ht="15" thickBot="1" x14ac:dyDescent="0.35">
      <c r="B6" s="20" t="s">
        <v>37</v>
      </c>
      <c r="C6" s="20">
        <v>2</v>
      </c>
      <c r="D6" s="20">
        <f>3*230*16/1000</f>
        <v>11.04</v>
      </c>
      <c r="E6" s="21">
        <v>0.85</v>
      </c>
      <c r="F6" s="20">
        <v>1</v>
      </c>
      <c r="G6" s="20">
        <v>0.3</v>
      </c>
      <c r="H6" s="20">
        <v>1</v>
      </c>
      <c r="I6" s="21">
        <f t="shared" si="0"/>
        <v>6.6239999999999997</v>
      </c>
      <c r="J6" s="21">
        <f t="shared" si="1"/>
        <v>4.1051864975821495</v>
      </c>
      <c r="K6" s="21">
        <f t="shared" si="2"/>
        <v>7.7929411764705883</v>
      </c>
      <c r="R6" s="36"/>
      <c r="S6" s="42"/>
      <c r="T6" s="37"/>
    </row>
    <row r="7" spans="1:27" ht="15" thickBot="1" x14ac:dyDescent="0.35">
      <c r="B7" s="20" t="s">
        <v>38</v>
      </c>
      <c r="C7" s="20">
        <v>5</v>
      </c>
      <c r="D7" s="20">
        <v>10</v>
      </c>
      <c r="E7" s="21">
        <v>0.85</v>
      </c>
      <c r="F7" s="20">
        <v>0.6</v>
      </c>
      <c r="G7" s="20">
        <v>1</v>
      </c>
      <c r="H7" s="20">
        <v>1</v>
      </c>
      <c r="I7" s="21">
        <f t="shared" si="0"/>
        <v>30</v>
      </c>
      <c r="J7" s="21">
        <f t="shared" si="1"/>
        <v>18.592330152093069</v>
      </c>
      <c r="K7" s="21">
        <f t="shared" si="2"/>
        <v>35.294117647058826</v>
      </c>
      <c r="R7" s="25"/>
      <c r="T7" s="26"/>
      <c r="U7" s="23"/>
      <c r="V7" s="23"/>
      <c r="W7" s="23"/>
      <c r="X7" s="23"/>
      <c r="Y7" s="23"/>
    </row>
    <row r="8" spans="1:27" ht="15" thickBot="1" x14ac:dyDescent="0.35">
      <c r="B8" s="20" t="s">
        <v>39</v>
      </c>
      <c r="C8" s="20">
        <v>4</v>
      </c>
      <c r="D8" s="20">
        <v>12</v>
      </c>
      <c r="E8" s="21">
        <v>0.82</v>
      </c>
      <c r="F8" s="20">
        <v>0.5</v>
      </c>
      <c r="G8" s="20">
        <v>1</v>
      </c>
      <c r="H8" s="20">
        <v>2</v>
      </c>
      <c r="I8" s="21">
        <f t="shared" si="0"/>
        <v>48</v>
      </c>
      <c r="J8" s="21">
        <f t="shared" si="1"/>
        <v>33.504206098546391</v>
      </c>
      <c r="K8" s="21">
        <f t="shared" si="2"/>
        <v>58.536585365853661</v>
      </c>
      <c r="Q8" s="22"/>
      <c r="T8" s="27"/>
      <c r="U8" s="19"/>
      <c r="V8" s="27"/>
      <c r="W8" s="23"/>
      <c r="X8" t="s">
        <v>18</v>
      </c>
      <c r="Y8" s="27"/>
      <c r="Z8" s="23"/>
      <c r="AA8" t="s">
        <v>19</v>
      </c>
    </row>
    <row r="9" spans="1:27" x14ac:dyDescent="0.3">
      <c r="B9" s="20" t="s">
        <v>41</v>
      </c>
      <c r="C9" s="20">
        <v>4</v>
      </c>
      <c r="D9" s="20">
        <v>20</v>
      </c>
      <c r="E9" s="21">
        <v>0.84</v>
      </c>
      <c r="F9" s="20">
        <v>0.7</v>
      </c>
      <c r="G9" s="20">
        <v>1</v>
      </c>
      <c r="H9" s="20">
        <v>1</v>
      </c>
      <c r="I9" s="21">
        <f t="shared" si="0"/>
        <v>56</v>
      </c>
      <c r="J9" s="21">
        <f t="shared" si="1"/>
        <v>36.172426576668087</v>
      </c>
      <c r="K9" s="21">
        <f t="shared" si="2"/>
        <v>66.666666666666657</v>
      </c>
      <c r="Q9" s="22"/>
      <c r="T9" s="22"/>
      <c r="V9" s="34">
        <f>L111</f>
        <v>310.62</v>
      </c>
      <c r="W9" s="35"/>
      <c r="Y9" s="34">
        <f>L130</f>
        <v>550.62</v>
      </c>
      <c r="Z9" s="35"/>
    </row>
    <row r="10" spans="1:27" ht="15" thickBot="1" x14ac:dyDescent="0.35">
      <c r="B10" s="20" t="s">
        <v>14</v>
      </c>
      <c r="C10" s="20">
        <v>1</v>
      </c>
      <c r="D10" s="21">
        <f>I37</f>
        <v>88.248000000000005</v>
      </c>
      <c r="E10" s="21">
        <f>I37/K37</f>
        <v>0.85408440024099785</v>
      </c>
      <c r="F10" s="20">
        <v>1</v>
      </c>
      <c r="G10" s="20">
        <v>0.9</v>
      </c>
      <c r="H10" s="20">
        <v>1</v>
      </c>
      <c r="I10" s="21">
        <v>100</v>
      </c>
      <c r="J10" s="21">
        <f t="shared" si="1"/>
        <v>60.899653638740162</v>
      </c>
      <c r="K10" s="21">
        <f t="shared" si="2"/>
        <v>117.08444735881243</v>
      </c>
      <c r="Q10" s="22"/>
      <c r="T10" s="22"/>
      <c r="V10" s="36"/>
      <c r="W10" s="37"/>
      <c r="Y10" s="36"/>
      <c r="Z10" s="37"/>
    </row>
    <row r="11" spans="1:27" ht="15" thickBot="1" x14ac:dyDescent="0.35">
      <c r="B11" s="20"/>
      <c r="C11" s="20"/>
      <c r="D11" s="21"/>
      <c r="E11" s="21"/>
      <c r="F11" s="20"/>
      <c r="G11" s="20"/>
      <c r="H11" s="20"/>
      <c r="I11" s="21"/>
      <c r="J11" s="21"/>
      <c r="K11" s="21"/>
      <c r="Q11" s="22"/>
      <c r="T11" s="22"/>
      <c r="W11" s="50"/>
      <c r="X11" s="23"/>
      <c r="Y11" s="50"/>
    </row>
    <row r="12" spans="1:27" ht="15" thickBot="1" x14ac:dyDescent="0.35">
      <c r="B12" s="20"/>
      <c r="C12" s="20"/>
      <c r="D12" s="21"/>
      <c r="E12" s="21"/>
      <c r="F12" s="20"/>
      <c r="G12" s="20"/>
      <c r="H12" s="20"/>
      <c r="I12" s="21"/>
      <c r="J12" s="21"/>
      <c r="K12" s="21"/>
      <c r="Q12" s="22"/>
      <c r="T12" s="22"/>
      <c r="U12" s="19"/>
      <c r="V12" s="27"/>
      <c r="W12" s="23"/>
      <c r="X12" t="s">
        <v>16</v>
      </c>
      <c r="Y12" s="24"/>
      <c r="Z12" s="23"/>
      <c r="AA12" t="s">
        <v>17</v>
      </c>
    </row>
    <row r="13" spans="1:27" x14ac:dyDescent="0.3">
      <c r="B13" s="20"/>
      <c r="C13" s="20"/>
      <c r="D13" s="21"/>
      <c r="E13" s="21"/>
      <c r="F13" s="20"/>
      <c r="G13" s="20"/>
      <c r="H13" s="20"/>
      <c r="I13" s="21"/>
      <c r="J13" s="21"/>
      <c r="K13" s="21"/>
      <c r="Q13" s="22"/>
      <c r="T13" s="22"/>
      <c r="V13" s="34">
        <f>L73</f>
        <v>430.62</v>
      </c>
      <c r="W13" s="35"/>
      <c r="Y13" s="34">
        <f>L92</f>
        <v>430.62</v>
      </c>
      <c r="Z13" s="35"/>
    </row>
    <row r="14" spans="1:27" ht="15" thickBot="1" x14ac:dyDescent="0.35">
      <c r="B14" s="20"/>
      <c r="C14" s="20"/>
      <c r="D14" s="21"/>
      <c r="E14" s="21"/>
      <c r="F14" s="20"/>
      <c r="G14" s="20"/>
      <c r="H14" s="20"/>
      <c r="I14" s="21"/>
      <c r="J14" s="21"/>
      <c r="K14" s="21"/>
      <c r="Q14" s="22"/>
      <c r="T14" s="22"/>
      <c r="V14" s="36"/>
      <c r="W14" s="37"/>
      <c r="Y14" s="36"/>
      <c r="Z14" s="37"/>
    </row>
    <row r="15" spans="1:27" x14ac:dyDescent="0.3">
      <c r="B15" s="20"/>
      <c r="C15" s="20"/>
      <c r="D15" s="21"/>
      <c r="E15" s="21"/>
      <c r="F15" s="20"/>
      <c r="G15" s="20"/>
      <c r="H15" s="20"/>
      <c r="I15" s="21"/>
      <c r="J15" s="21"/>
      <c r="K15" s="21"/>
      <c r="Q15" s="22"/>
      <c r="T15" s="22"/>
    </row>
    <row r="16" spans="1:27" ht="15" thickBot="1" x14ac:dyDescent="0.35">
      <c r="B16" s="20"/>
      <c r="C16" s="20"/>
      <c r="D16" s="21"/>
      <c r="E16" s="21"/>
      <c r="F16" s="20"/>
      <c r="G16" s="20"/>
      <c r="H16" s="20"/>
      <c r="I16" s="21"/>
      <c r="J16" s="21"/>
      <c r="K16" s="21"/>
      <c r="P16" s="30" t="s">
        <v>14</v>
      </c>
      <c r="Q16" s="24"/>
      <c r="T16" s="24"/>
      <c r="U16" s="23"/>
      <c r="V16" t="s">
        <v>15</v>
      </c>
    </row>
    <row r="17" spans="2:21" x14ac:dyDescent="0.3">
      <c r="B17" s="20"/>
      <c r="C17" s="20"/>
      <c r="D17" s="21"/>
      <c r="E17" s="21"/>
      <c r="F17" s="20"/>
      <c r="G17" s="20"/>
      <c r="H17" s="20"/>
      <c r="I17" s="21"/>
      <c r="J17" s="21"/>
      <c r="K17" s="21"/>
      <c r="Q17" s="34">
        <f>L37</f>
        <v>154.06</v>
      </c>
      <c r="R17" s="35"/>
      <c r="T17" s="34">
        <f>L73</f>
        <v>430.62</v>
      </c>
      <c r="U17" s="35"/>
    </row>
    <row r="18" spans="2:21" ht="15" thickBot="1" x14ac:dyDescent="0.35">
      <c r="B18" s="20"/>
      <c r="C18" s="20"/>
      <c r="D18" s="21"/>
      <c r="E18" s="21"/>
      <c r="F18" s="20"/>
      <c r="G18" s="20"/>
      <c r="H18" s="20"/>
      <c r="I18" s="21"/>
      <c r="J18" s="21"/>
      <c r="K18" s="21"/>
      <c r="Q18" s="36"/>
      <c r="R18" s="37"/>
      <c r="T18" s="36"/>
      <c r="U18" s="37"/>
    </row>
    <row r="19" spans="2:21" x14ac:dyDescent="0.3">
      <c r="B19" s="20" t="s">
        <v>15</v>
      </c>
      <c r="C19" s="20">
        <v>1</v>
      </c>
      <c r="D19" s="21">
        <f>I73</f>
        <v>172.24799999999999</v>
      </c>
      <c r="E19" s="21">
        <f>I73/K73</f>
        <v>0.84030463223885954</v>
      </c>
      <c r="F19" s="20">
        <v>1</v>
      </c>
      <c r="G19" s="20">
        <v>0.9</v>
      </c>
      <c r="H19" s="20">
        <v>1</v>
      </c>
      <c r="I19" s="21">
        <f t="shared" ref="I19:I20" si="3">C19*D19*F19*G19*H19</f>
        <v>155.0232</v>
      </c>
      <c r="J19" s="21">
        <f t="shared" si="1"/>
        <v>100.01173439240068</v>
      </c>
      <c r="K19" s="21">
        <f t="shared" si="2"/>
        <v>184.48452388863436</v>
      </c>
    </row>
    <row r="20" spans="2:21" x14ac:dyDescent="0.3">
      <c r="B20" s="16" t="s">
        <v>42</v>
      </c>
      <c r="C20" s="16"/>
      <c r="D20" s="16"/>
      <c r="E20" s="16"/>
      <c r="F20" s="16"/>
      <c r="G20" s="16"/>
      <c r="H20" s="28"/>
      <c r="I20" s="29">
        <f>SUM(I4:I19)</f>
        <v>427.27120000000002</v>
      </c>
      <c r="J20" s="29">
        <f>SUM(J4:J19)</f>
        <v>272.03553735603055</v>
      </c>
      <c r="K20" s="29">
        <f t="shared" si="2"/>
        <v>506.5214822038887</v>
      </c>
      <c r="L20" s="33">
        <f>I20/400*1000</f>
        <v>1068.1780000000001</v>
      </c>
      <c r="M20" s="44"/>
      <c r="N20" s="44"/>
      <c r="O20" s="44"/>
    </row>
    <row r="22" spans="2:21" x14ac:dyDescent="0.3">
      <c r="B22" s="16" t="s">
        <v>14</v>
      </c>
      <c r="C22" s="16"/>
      <c r="D22" s="16"/>
      <c r="E22" s="16"/>
      <c r="F22" s="16"/>
      <c r="G22" s="16"/>
      <c r="H22" s="16"/>
      <c r="I22" s="16"/>
      <c r="J22" s="16"/>
      <c r="K22" s="16"/>
    </row>
    <row r="23" spans="2:21" x14ac:dyDescent="0.3">
      <c r="B23" s="17" t="s">
        <v>24</v>
      </c>
      <c r="C23" s="18" t="s">
        <v>25</v>
      </c>
      <c r="D23" s="18" t="s">
        <v>26</v>
      </c>
      <c r="E23" s="18" t="s">
        <v>27</v>
      </c>
      <c r="F23" s="18" t="s">
        <v>28</v>
      </c>
      <c r="G23" s="18" t="s">
        <v>29</v>
      </c>
      <c r="H23" s="18" t="s">
        <v>30</v>
      </c>
      <c r="I23" s="18" t="s">
        <v>31</v>
      </c>
      <c r="J23" s="18" t="s">
        <v>32</v>
      </c>
      <c r="K23" s="18" t="s">
        <v>33</v>
      </c>
    </row>
    <row r="24" spans="2:21" x14ac:dyDescent="0.3">
      <c r="B24" s="20" t="s">
        <v>35</v>
      </c>
      <c r="C24" s="20">
        <v>50</v>
      </c>
      <c r="D24" s="20">
        <v>0.1</v>
      </c>
      <c r="E24" s="21">
        <v>0.8</v>
      </c>
      <c r="F24" s="20">
        <v>1</v>
      </c>
      <c r="G24" s="20">
        <v>1</v>
      </c>
      <c r="H24" s="20">
        <v>1</v>
      </c>
      <c r="I24" s="21">
        <f t="shared" ref="I24:I36" si="4">C24*D24*F24*G24*H24</f>
        <v>5</v>
      </c>
      <c r="J24" s="21">
        <f>I24*TAN(ACOS(E24))</f>
        <v>3.7499999999999991</v>
      </c>
      <c r="K24" s="21">
        <f>SQRT(I24^2+J24^2)</f>
        <v>6.2499999999999991</v>
      </c>
    </row>
    <row r="25" spans="2:21" x14ac:dyDescent="0.3">
      <c r="B25" s="20" t="s">
        <v>36</v>
      </c>
      <c r="C25" s="20">
        <v>3</v>
      </c>
      <c r="D25" s="20">
        <f>230*16/1000</f>
        <v>3.68</v>
      </c>
      <c r="E25" s="21">
        <v>1</v>
      </c>
      <c r="F25" s="20">
        <v>1</v>
      </c>
      <c r="G25" s="20">
        <v>0.3</v>
      </c>
      <c r="H25" s="20">
        <v>1</v>
      </c>
      <c r="I25" s="21">
        <f t="shared" si="4"/>
        <v>3.3120000000000003</v>
      </c>
      <c r="J25" s="21">
        <f t="shared" ref="J25:J36" si="5">I25*TAN(ACOS(E25))</f>
        <v>0</v>
      </c>
      <c r="K25" s="21">
        <f t="shared" ref="K25:K37" si="6">SQRT(I25^2+J25^2)</f>
        <v>3.3120000000000003</v>
      </c>
    </row>
    <row r="26" spans="2:21" x14ac:dyDescent="0.3">
      <c r="B26" s="20" t="s">
        <v>37</v>
      </c>
      <c r="C26" s="20">
        <v>1</v>
      </c>
      <c r="D26" s="20">
        <f>3*230*16/1000</f>
        <v>11.04</v>
      </c>
      <c r="E26" s="21">
        <v>0.85</v>
      </c>
      <c r="F26" s="20">
        <v>1</v>
      </c>
      <c r="G26" s="20">
        <v>0.3</v>
      </c>
      <c r="H26" s="20">
        <v>1</v>
      </c>
      <c r="I26" s="21">
        <f t="shared" si="4"/>
        <v>3.3119999999999998</v>
      </c>
      <c r="J26" s="21">
        <f t="shared" si="5"/>
        <v>2.0525932487910747</v>
      </c>
      <c r="K26" s="21">
        <f t="shared" si="6"/>
        <v>3.8964705882352941</v>
      </c>
    </row>
    <row r="27" spans="2:21" x14ac:dyDescent="0.3">
      <c r="B27" s="20" t="s">
        <v>38</v>
      </c>
      <c r="C27" s="20">
        <v>4</v>
      </c>
      <c r="D27" s="20">
        <v>10</v>
      </c>
      <c r="E27" s="21">
        <v>0.85</v>
      </c>
      <c r="F27" s="20">
        <v>0.6</v>
      </c>
      <c r="G27" s="20">
        <v>1</v>
      </c>
      <c r="H27" s="20">
        <v>1</v>
      </c>
      <c r="I27" s="21">
        <f t="shared" si="4"/>
        <v>24</v>
      </c>
      <c r="J27" s="21">
        <f t="shared" si="5"/>
        <v>14.873864121674455</v>
      </c>
      <c r="K27" s="21">
        <f t="shared" si="6"/>
        <v>28.235294117647058</v>
      </c>
    </row>
    <row r="28" spans="2:21" x14ac:dyDescent="0.3">
      <c r="B28" s="20" t="s">
        <v>39</v>
      </c>
      <c r="C28" s="20">
        <v>1</v>
      </c>
      <c r="D28" s="20">
        <v>12</v>
      </c>
      <c r="E28" s="21">
        <v>0.82</v>
      </c>
      <c r="F28" s="20">
        <v>0.5</v>
      </c>
      <c r="G28" s="20">
        <v>1</v>
      </c>
      <c r="H28" s="20">
        <v>2</v>
      </c>
      <c r="I28" s="21">
        <f t="shared" si="4"/>
        <v>12</v>
      </c>
      <c r="J28" s="21">
        <f t="shared" si="5"/>
        <v>8.3760515246365976</v>
      </c>
      <c r="K28" s="21">
        <f t="shared" si="6"/>
        <v>14.634146341463415</v>
      </c>
    </row>
    <row r="29" spans="2:21" x14ac:dyDescent="0.3">
      <c r="B29" s="20" t="s">
        <v>41</v>
      </c>
      <c r="C29" s="20">
        <v>1</v>
      </c>
      <c r="D29" s="20">
        <v>20</v>
      </c>
      <c r="E29" s="21">
        <v>0.84</v>
      </c>
      <c r="F29" s="20">
        <v>0.7</v>
      </c>
      <c r="G29" s="20">
        <v>1</v>
      </c>
      <c r="H29" s="20">
        <v>1</v>
      </c>
      <c r="I29" s="21">
        <f t="shared" si="4"/>
        <v>14</v>
      </c>
      <c r="J29" s="21">
        <f t="shared" si="5"/>
        <v>9.0431066441670218</v>
      </c>
      <c r="K29" s="21">
        <f t="shared" si="6"/>
        <v>16.666666666666664</v>
      </c>
    </row>
    <row r="30" spans="2:21" x14ac:dyDescent="0.3">
      <c r="B30" s="20"/>
      <c r="C30" s="20"/>
      <c r="D30" s="20"/>
      <c r="E30" s="21"/>
      <c r="F30" s="20"/>
      <c r="G30" s="20"/>
      <c r="H30" s="20"/>
      <c r="I30" s="21"/>
      <c r="J30" s="21"/>
      <c r="K30" s="21"/>
    </row>
    <row r="31" spans="2:21" x14ac:dyDescent="0.3">
      <c r="B31" s="20"/>
      <c r="C31" s="20"/>
      <c r="D31" s="20"/>
      <c r="E31" s="21"/>
      <c r="F31" s="20"/>
      <c r="G31" s="20"/>
      <c r="H31" s="20"/>
      <c r="I31" s="21"/>
      <c r="J31" s="21"/>
      <c r="K31" s="21"/>
    </row>
    <row r="32" spans="2:21" x14ac:dyDescent="0.3">
      <c r="B32" s="20"/>
      <c r="C32" s="20"/>
      <c r="D32" s="20"/>
      <c r="E32" s="21"/>
      <c r="F32" s="20"/>
      <c r="G32" s="20"/>
      <c r="H32" s="20"/>
      <c r="I32" s="21"/>
      <c r="J32" s="21"/>
      <c r="K32" s="21"/>
    </row>
    <row r="33" spans="2:15" x14ac:dyDescent="0.3">
      <c r="B33" s="20"/>
      <c r="C33" s="20"/>
      <c r="D33" s="20"/>
      <c r="E33" s="21"/>
      <c r="F33" s="20"/>
      <c r="G33" s="20"/>
      <c r="H33" s="20"/>
      <c r="I33" s="21"/>
      <c r="J33" s="21"/>
      <c r="K33" s="21"/>
    </row>
    <row r="34" spans="2:15" x14ac:dyDescent="0.3">
      <c r="B34" s="20"/>
      <c r="C34" s="20"/>
      <c r="D34" s="20"/>
      <c r="E34" s="21"/>
      <c r="F34" s="20"/>
      <c r="G34" s="20"/>
      <c r="H34" s="20"/>
      <c r="I34" s="21"/>
      <c r="J34" s="21"/>
      <c r="K34" s="21"/>
    </row>
    <row r="35" spans="2:15" x14ac:dyDescent="0.3">
      <c r="B35" s="20"/>
      <c r="C35" s="20"/>
      <c r="D35" s="20"/>
      <c r="E35" s="21"/>
      <c r="F35" s="20"/>
      <c r="G35" s="20"/>
      <c r="H35" s="20"/>
      <c r="I35" s="21"/>
      <c r="J35" s="21"/>
      <c r="K35" s="21"/>
    </row>
    <row r="36" spans="2:15" x14ac:dyDescent="0.3">
      <c r="B36" s="20" t="s">
        <v>12</v>
      </c>
      <c r="C36" s="20">
        <v>1</v>
      </c>
      <c r="D36" s="21">
        <f>I54</f>
        <v>26.624000000000002</v>
      </c>
      <c r="E36" s="21">
        <f>I54/K54</f>
        <v>0.86213319805957178</v>
      </c>
      <c r="F36" s="20">
        <v>1</v>
      </c>
      <c r="G36" s="20">
        <v>1</v>
      </c>
      <c r="H36" s="20">
        <v>1</v>
      </c>
      <c r="I36" s="21">
        <f t="shared" si="4"/>
        <v>26.624000000000002</v>
      </c>
      <c r="J36" s="21">
        <f t="shared" si="5"/>
        <v>15.647110803846282</v>
      </c>
      <c r="K36" s="21">
        <f t="shared" si="6"/>
        <v>30.88153902427538</v>
      </c>
    </row>
    <row r="37" spans="2:15" x14ac:dyDescent="0.3">
      <c r="B37" s="45" t="s">
        <v>40</v>
      </c>
      <c r="C37" s="45"/>
      <c r="D37" s="45"/>
      <c r="E37" s="45"/>
      <c r="F37" s="45"/>
      <c r="G37" s="45"/>
      <c r="H37" s="46"/>
      <c r="I37" s="47">
        <f>SUM(I24:I36)</f>
        <v>88.248000000000005</v>
      </c>
      <c r="J37" s="47">
        <f>SUM(J24:J36)</f>
        <v>53.742726343115429</v>
      </c>
      <c r="K37" s="47">
        <f t="shared" si="6"/>
        <v>103.3246831052048</v>
      </c>
      <c r="L37" s="33">
        <f>I37/400*1000-I36/400*1000</f>
        <v>154.06</v>
      </c>
      <c r="M37" s="44"/>
      <c r="N37" s="44"/>
      <c r="O37" s="44"/>
    </row>
    <row r="40" spans="2:15" x14ac:dyDescent="0.3">
      <c r="B40" s="48" t="s">
        <v>15</v>
      </c>
      <c r="C40" s="48"/>
      <c r="D40" s="48"/>
      <c r="E40" s="48"/>
      <c r="F40" s="48"/>
      <c r="G40" s="48"/>
      <c r="H40" s="48"/>
      <c r="I40" s="48"/>
      <c r="J40" s="48"/>
      <c r="K40" s="48"/>
    </row>
    <row r="41" spans="2:15" x14ac:dyDescent="0.3">
      <c r="B41" s="17" t="s">
        <v>24</v>
      </c>
      <c r="C41" s="18" t="s">
        <v>25</v>
      </c>
      <c r="D41" s="18" t="s">
        <v>26</v>
      </c>
      <c r="E41" s="18" t="s">
        <v>27</v>
      </c>
      <c r="F41" s="18" t="s">
        <v>28</v>
      </c>
      <c r="G41" s="18" t="s">
        <v>29</v>
      </c>
      <c r="H41" s="18" t="s">
        <v>30</v>
      </c>
      <c r="I41" s="18" t="s">
        <v>31</v>
      </c>
      <c r="J41" s="18" t="s">
        <v>32</v>
      </c>
      <c r="K41" s="18" t="s">
        <v>33</v>
      </c>
    </row>
    <row r="42" spans="2:15" x14ac:dyDescent="0.3">
      <c r="B42" s="20" t="s">
        <v>35</v>
      </c>
      <c r="C42" s="20">
        <v>20</v>
      </c>
      <c r="D42" s="20">
        <v>0.1</v>
      </c>
      <c r="E42" s="21">
        <v>0.8</v>
      </c>
      <c r="F42" s="20">
        <v>1</v>
      </c>
      <c r="G42" s="20">
        <v>1</v>
      </c>
      <c r="H42" s="20">
        <v>1</v>
      </c>
      <c r="I42" s="21">
        <f>C42*D42*F42*G42*H42</f>
        <v>2</v>
      </c>
      <c r="J42" s="21">
        <f>I42*TAN(ACOS(E42))</f>
        <v>1.4999999999999996</v>
      </c>
      <c r="K42" s="21">
        <f>SQRT(I42^2+J42^2)</f>
        <v>2.4999999999999996</v>
      </c>
    </row>
    <row r="43" spans="2:15" x14ac:dyDescent="0.3">
      <c r="B43" s="20" t="s">
        <v>36</v>
      </c>
      <c r="C43" s="20">
        <v>3</v>
      </c>
      <c r="D43" s="20">
        <f>230*16/1000</f>
        <v>3.68</v>
      </c>
      <c r="E43" s="21">
        <v>1</v>
      </c>
      <c r="F43" s="20">
        <v>1</v>
      </c>
      <c r="G43" s="20">
        <v>0.3</v>
      </c>
      <c r="H43" s="20">
        <v>1</v>
      </c>
      <c r="I43" s="21">
        <f>C43*D43*F43*G43*H43</f>
        <v>3.3120000000000003</v>
      </c>
      <c r="J43" s="21">
        <f t="shared" ref="J43:J53" si="7">I43*TAN(ACOS(E43))</f>
        <v>0</v>
      </c>
      <c r="K43" s="21">
        <f t="shared" ref="K43:K54" si="8">SQRT(I43^2+J43^2)</f>
        <v>3.3120000000000003</v>
      </c>
    </row>
    <row r="44" spans="2:15" x14ac:dyDescent="0.3">
      <c r="B44" s="20" t="s">
        <v>37</v>
      </c>
      <c r="C44" s="20">
        <v>1</v>
      </c>
      <c r="D44" s="20">
        <f>3*230*16/1000</f>
        <v>11.04</v>
      </c>
      <c r="E44" s="21">
        <v>0.85</v>
      </c>
      <c r="F44" s="20">
        <v>1</v>
      </c>
      <c r="G44" s="20">
        <v>0.3</v>
      </c>
      <c r="H44" s="20">
        <v>1</v>
      </c>
      <c r="I44" s="21">
        <f>C44*D44*F44*G44*H44</f>
        <v>3.3119999999999998</v>
      </c>
      <c r="J44" s="21">
        <f t="shared" si="7"/>
        <v>2.0525932487910747</v>
      </c>
      <c r="K44" s="21">
        <f t="shared" si="8"/>
        <v>3.8964705882352941</v>
      </c>
    </row>
    <row r="45" spans="2:15" x14ac:dyDescent="0.3">
      <c r="B45" s="20" t="s">
        <v>38</v>
      </c>
      <c r="C45" s="20">
        <v>1</v>
      </c>
      <c r="D45" s="20">
        <v>10</v>
      </c>
      <c r="E45" s="21">
        <v>0.85</v>
      </c>
      <c r="F45" s="20">
        <v>0.6</v>
      </c>
      <c r="G45" s="20">
        <v>1</v>
      </c>
      <c r="H45" s="20">
        <v>1</v>
      </c>
      <c r="I45" s="21">
        <f>C45*D45*F45*G45*H45</f>
        <v>6</v>
      </c>
      <c r="J45" s="21">
        <f t="shared" si="7"/>
        <v>3.7184660304186137</v>
      </c>
      <c r="K45" s="21">
        <f t="shared" si="8"/>
        <v>7.0588235294117645</v>
      </c>
    </row>
    <row r="46" spans="2:15" x14ac:dyDescent="0.3">
      <c r="B46" s="20"/>
      <c r="C46" s="20"/>
      <c r="D46" s="20"/>
      <c r="E46" s="21"/>
      <c r="F46" s="20"/>
      <c r="G46" s="20"/>
      <c r="H46" s="20"/>
      <c r="I46" s="21"/>
      <c r="J46" s="21"/>
      <c r="K46" s="21"/>
    </row>
    <row r="47" spans="2:15" x14ac:dyDescent="0.3">
      <c r="B47" s="20"/>
      <c r="C47" s="20"/>
      <c r="D47" s="20"/>
      <c r="E47" s="21"/>
      <c r="F47" s="20"/>
      <c r="G47" s="20"/>
      <c r="H47" s="20"/>
      <c r="I47" s="21"/>
      <c r="J47" s="21"/>
      <c r="K47" s="21"/>
    </row>
    <row r="48" spans="2:15" x14ac:dyDescent="0.3">
      <c r="B48" s="20"/>
      <c r="C48" s="20"/>
      <c r="D48" s="20"/>
      <c r="E48" s="21"/>
      <c r="F48" s="20"/>
      <c r="G48" s="20"/>
      <c r="H48" s="20"/>
      <c r="I48" s="21"/>
      <c r="J48" s="21"/>
      <c r="K48" s="21"/>
    </row>
    <row r="49" spans="2:15" x14ac:dyDescent="0.3">
      <c r="B49" s="20"/>
      <c r="C49" s="20"/>
      <c r="D49" s="20"/>
      <c r="E49" s="21"/>
      <c r="F49" s="20"/>
      <c r="G49" s="20"/>
      <c r="H49" s="20"/>
      <c r="I49" s="21"/>
      <c r="J49" s="21"/>
      <c r="K49" s="21"/>
    </row>
    <row r="50" spans="2:15" x14ac:dyDescent="0.3">
      <c r="B50" s="20"/>
      <c r="C50" s="20"/>
      <c r="D50" s="20"/>
      <c r="E50" s="21"/>
      <c r="F50" s="20"/>
      <c r="G50" s="20"/>
      <c r="H50" s="20"/>
      <c r="I50" s="21"/>
      <c r="J50" s="21"/>
      <c r="K50" s="21"/>
    </row>
    <row r="51" spans="2:15" x14ac:dyDescent="0.3">
      <c r="B51" s="20"/>
      <c r="C51" s="20"/>
      <c r="D51" s="20"/>
      <c r="E51" s="21"/>
      <c r="F51" s="20"/>
      <c r="G51" s="20"/>
      <c r="H51" s="20"/>
      <c r="I51" s="21"/>
      <c r="J51" s="21"/>
      <c r="K51" s="21"/>
    </row>
    <row r="52" spans="2:15" x14ac:dyDescent="0.3">
      <c r="B52" s="20"/>
      <c r="C52" s="20"/>
      <c r="D52" s="20"/>
      <c r="E52" s="21"/>
      <c r="F52" s="20"/>
      <c r="G52" s="20"/>
      <c r="H52" s="20"/>
      <c r="I52" s="21"/>
      <c r="J52" s="21"/>
      <c r="K52" s="21"/>
    </row>
    <row r="53" spans="2:15" x14ac:dyDescent="0.3">
      <c r="B53" s="20" t="s">
        <v>39</v>
      </c>
      <c r="C53" s="20">
        <v>1</v>
      </c>
      <c r="D53" s="20">
        <v>12</v>
      </c>
      <c r="E53" s="21">
        <v>0.82</v>
      </c>
      <c r="F53" s="20">
        <v>0.5</v>
      </c>
      <c r="G53" s="20">
        <v>1</v>
      </c>
      <c r="H53" s="20">
        <v>2</v>
      </c>
      <c r="I53" s="21">
        <f>C53*D53*F53*G53*H53</f>
        <v>12</v>
      </c>
      <c r="J53" s="21">
        <f t="shared" si="7"/>
        <v>8.3760515246365976</v>
      </c>
      <c r="K53" s="21">
        <f t="shared" si="8"/>
        <v>14.634146341463415</v>
      </c>
    </row>
    <row r="54" spans="2:15" x14ac:dyDescent="0.3">
      <c r="B54" s="16" t="s">
        <v>40</v>
      </c>
      <c r="C54" s="16"/>
      <c r="D54" s="16"/>
      <c r="E54" s="16"/>
      <c r="F54" s="16"/>
      <c r="G54" s="16"/>
      <c r="H54" s="28"/>
      <c r="I54" s="29">
        <f>SUM(I42:I53)</f>
        <v>26.624000000000002</v>
      </c>
      <c r="J54" s="29">
        <f>SUM(J42:J53)</f>
        <v>15.647110803846285</v>
      </c>
      <c r="K54" s="29">
        <f t="shared" si="8"/>
        <v>30.88153902427538</v>
      </c>
      <c r="L54" s="33">
        <f>I54/400*1000</f>
        <v>66.56</v>
      </c>
      <c r="M54" s="44"/>
      <c r="N54" s="44"/>
      <c r="O54" s="44"/>
    </row>
    <row r="57" spans="2:15" x14ac:dyDescent="0.3">
      <c r="B57" s="16" t="s">
        <v>16</v>
      </c>
      <c r="C57" s="16"/>
      <c r="D57" s="16"/>
      <c r="E57" s="16"/>
      <c r="F57" s="16"/>
      <c r="G57" s="16"/>
      <c r="H57" s="16"/>
      <c r="I57" s="16"/>
      <c r="J57" s="16"/>
      <c r="K57" s="16"/>
    </row>
    <row r="58" spans="2:15" x14ac:dyDescent="0.3">
      <c r="B58" s="17" t="s">
        <v>24</v>
      </c>
      <c r="C58" s="18" t="s">
        <v>25</v>
      </c>
      <c r="D58" s="18" t="s">
        <v>26</v>
      </c>
      <c r="E58" s="18" t="s">
        <v>27</v>
      </c>
      <c r="F58" s="18" t="s">
        <v>28</v>
      </c>
      <c r="G58" s="18" t="s">
        <v>29</v>
      </c>
      <c r="H58" s="18" t="s">
        <v>30</v>
      </c>
      <c r="I58" s="18" t="s">
        <v>31</v>
      </c>
      <c r="J58" s="18" t="s">
        <v>32</v>
      </c>
      <c r="K58" s="18" t="s">
        <v>33</v>
      </c>
    </row>
    <row r="59" spans="2:15" x14ac:dyDescent="0.3">
      <c r="B59" s="20" t="s">
        <v>35</v>
      </c>
      <c r="C59" s="20">
        <v>100</v>
      </c>
      <c r="D59" s="20">
        <v>0.25</v>
      </c>
      <c r="E59" s="21">
        <v>0.8</v>
      </c>
      <c r="F59" s="20">
        <v>1</v>
      </c>
      <c r="G59" s="20">
        <v>1</v>
      </c>
      <c r="H59" s="20">
        <v>1</v>
      </c>
      <c r="I59" s="21">
        <f t="shared" ref="I59:I72" si="9">C59*D59*F59*G59*H59</f>
        <v>25</v>
      </c>
      <c r="J59" s="21">
        <f>I59*TAN(ACOS(E59))</f>
        <v>18.749999999999993</v>
      </c>
      <c r="K59" s="21">
        <f>SQRT(I59^2+J59^2)</f>
        <v>31.249999999999996</v>
      </c>
    </row>
    <row r="60" spans="2:15" x14ac:dyDescent="0.3">
      <c r="B60" s="20" t="s">
        <v>36</v>
      </c>
      <c r="C60" s="20">
        <v>6</v>
      </c>
      <c r="D60" s="20">
        <f>230*16/1000</f>
        <v>3.68</v>
      </c>
      <c r="E60" s="21">
        <v>1</v>
      </c>
      <c r="F60" s="20">
        <v>1</v>
      </c>
      <c r="G60" s="20">
        <v>0.3</v>
      </c>
      <c r="H60" s="20">
        <v>1</v>
      </c>
      <c r="I60" s="21">
        <f t="shared" si="9"/>
        <v>6.6240000000000006</v>
      </c>
      <c r="J60" s="21">
        <f t="shared" ref="J60:J72" si="10">I60*TAN(ACOS(E60))</f>
        <v>0</v>
      </c>
      <c r="K60" s="21">
        <f t="shared" ref="K60:K73" si="11">SQRT(I60^2+J60^2)</f>
        <v>6.6240000000000006</v>
      </c>
    </row>
    <row r="61" spans="2:15" x14ac:dyDescent="0.3">
      <c r="B61" s="20" t="s">
        <v>37</v>
      </c>
      <c r="C61" s="20">
        <v>2</v>
      </c>
      <c r="D61" s="20">
        <f>3*230*16/1000</f>
        <v>11.04</v>
      </c>
      <c r="E61" s="21">
        <v>0.85</v>
      </c>
      <c r="F61" s="20">
        <v>1</v>
      </c>
      <c r="G61" s="20">
        <v>0.3</v>
      </c>
      <c r="H61" s="20">
        <v>1</v>
      </c>
      <c r="I61" s="21">
        <f t="shared" si="9"/>
        <v>6.6239999999999997</v>
      </c>
      <c r="J61" s="21">
        <f t="shared" si="10"/>
        <v>4.1051864975821495</v>
      </c>
      <c r="K61" s="21">
        <f t="shared" si="11"/>
        <v>7.7929411764705883</v>
      </c>
    </row>
    <row r="62" spans="2:15" x14ac:dyDescent="0.3">
      <c r="B62" s="20" t="s">
        <v>38</v>
      </c>
      <c r="C62" s="20">
        <v>5</v>
      </c>
      <c r="D62" s="20">
        <v>10</v>
      </c>
      <c r="E62" s="21">
        <v>0.85</v>
      </c>
      <c r="F62" s="20">
        <v>0.6</v>
      </c>
      <c r="G62" s="20">
        <v>1</v>
      </c>
      <c r="H62" s="20">
        <v>1</v>
      </c>
      <c r="I62" s="21">
        <f t="shared" si="9"/>
        <v>30</v>
      </c>
      <c r="J62" s="21">
        <f t="shared" si="10"/>
        <v>18.592330152093069</v>
      </c>
      <c r="K62" s="21">
        <f t="shared" si="11"/>
        <v>35.294117647058826</v>
      </c>
    </row>
    <row r="63" spans="2:15" x14ac:dyDescent="0.3">
      <c r="B63" s="20" t="s">
        <v>39</v>
      </c>
      <c r="C63" s="20">
        <v>4</v>
      </c>
      <c r="D63" s="20">
        <v>12</v>
      </c>
      <c r="E63" s="21">
        <v>0.82</v>
      </c>
      <c r="F63" s="20">
        <v>0.5</v>
      </c>
      <c r="G63" s="20">
        <v>1</v>
      </c>
      <c r="H63" s="20">
        <v>2</v>
      </c>
      <c r="I63" s="21">
        <f t="shared" si="9"/>
        <v>48</v>
      </c>
      <c r="J63" s="21">
        <f t="shared" si="10"/>
        <v>33.504206098546391</v>
      </c>
      <c r="K63" s="21">
        <f t="shared" si="11"/>
        <v>58.536585365853661</v>
      </c>
    </row>
    <row r="64" spans="2:15" x14ac:dyDescent="0.3">
      <c r="B64" s="20"/>
      <c r="C64" s="20"/>
      <c r="D64" s="20"/>
      <c r="E64" s="21"/>
      <c r="F64" s="20"/>
      <c r="G64" s="20"/>
      <c r="H64" s="20"/>
      <c r="I64" s="21"/>
      <c r="J64" s="21"/>
      <c r="K64" s="21"/>
    </row>
    <row r="65" spans="2:15" x14ac:dyDescent="0.3">
      <c r="B65" s="20"/>
      <c r="C65" s="20"/>
      <c r="D65" s="20"/>
      <c r="E65" s="21"/>
      <c r="F65" s="20"/>
      <c r="G65" s="20"/>
      <c r="H65" s="20"/>
      <c r="I65" s="21"/>
      <c r="J65" s="21"/>
      <c r="K65" s="21"/>
    </row>
    <row r="66" spans="2:15" x14ac:dyDescent="0.3">
      <c r="B66" s="20"/>
      <c r="C66" s="20"/>
      <c r="D66" s="20"/>
      <c r="E66" s="21"/>
      <c r="F66" s="20"/>
      <c r="G66" s="20"/>
      <c r="H66" s="20"/>
      <c r="I66" s="21"/>
      <c r="J66" s="21"/>
      <c r="K66" s="21"/>
    </row>
    <row r="67" spans="2:15" x14ac:dyDescent="0.3">
      <c r="B67" s="20"/>
      <c r="C67" s="20"/>
      <c r="D67" s="20"/>
      <c r="E67" s="21"/>
      <c r="F67" s="20"/>
      <c r="G67" s="20"/>
      <c r="H67" s="20"/>
      <c r="I67" s="21"/>
      <c r="J67" s="21"/>
      <c r="K67" s="21"/>
    </row>
    <row r="68" spans="2:15" x14ac:dyDescent="0.3">
      <c r="B68" s="20"/>
      <c r="C68" s="20"/>
      <c r="D68" s="20"/>
      <c r="E68" s="21"/>
      <c r="F68" s="20"/>
      <c r="G68" s="20"/>
      <c r="H68" s="20"/>
      <c r="I68" s="21"/>
      <c r="J68" s="21"/>
      <c r="K68" s="21"/>
    </row>
    <row r="69" spans="2:15" x14ac:dyDescent="0.3">
      <c r="B69" s="20"/>
      <c r="C69" s="20"/>
      <c r="D69" s="20"/>
      <c r="E69" s="21"/>
      <c r="F69" s="20"/>
      <c r="G69" s="20"/>
      <c r="H69" s="20"/>
      <c r="I69" s="21"/>
      <c r="J69" s="21"/>
      <c r="K69" s="21"/>
    </row>
    <row r="70" spans="2:15" x14ac:dyDescent="0.3">
      <c r="B70" s="20"/>
      <c r="C70" s="20"/>
      <c r="D70" s="20"/>
      <c r="E70" s="21"/>
      <c r="F70" s="20"/>
      <c r="G70" s="20"/>
      <c r="H70" s="20"/>
      <c r="I70" s="21"/>
      <c r="J70" s="21"/>
      <c r="K70" s="21"/>
    </row>
    <row r="71" spans="2:15" x14ac:dyDescent="0.3">
      <c r="B71" s="20"/>
      <c r="C71" s="20"/>
      <c r="D71" s="20"/>
      <c r="E71" s="21"/>
      <c r="F71" s="20"/>
      <c r="G71" s="20"/>
      <c r="H71" s="20"/>
      <c r="I71" s="21"/>
      <c r="J71" s="21"/>
      <c r="K71" s="21"/>
    </row>
    <row r="72" spans="2:15" x14ac:dyDescent="0.3">
      <c r="B72" s="20" t="s">
        <v>41</v>
      </c>
      <c r="C72" s="20">
        <v>4</v>
      </c>
      <c r="D72" s="20">
        <v>20</v>
      </c>
      <c r="E72" s="21">
        <v>0.84</v>
      </c>
      <c r="F72" s="20">
        <v>0.7</v>
      </c>
      <c r="G72" s="20">
        <v>1</v>
      </c>
      <c r="H72" s="20">
        <v>1</v>
      </c>
      <c r="I72" s="21">
        <f t="shared" si="9"/>
        <v>56</v>
      </c>
      <c r="J72" s="21">
        <f t="shared" si="10"/>
        <v>36.172426576668087</v>
      </c>
      <c r="K72" s="21">
        <f t="shared" si="11"/>
        <v>66.666666666666657</v>
      </c>
    </row>
    <row r="73" spans="2:15" x14ac:dyDescent="0.3">
      <c r="B73" s="16" t="s">
        <v>40</v>
      </c>
      <c r="C73" s="16"/>
      <c r="D73" s="16"/>
      <c r="E73" s="16"/>
      <c r="F73" s="16"/>
      <c r="G73" s="16"/>
      <c r="H73" s="28"/>
      <c r="I73" s="29">
        <f>SUM(I59:I72)</f>
        <v>172.24799999999999</v>
      </c>
      <c r="J73" s="29">
        <f>SUM(J59:J72)</f>
        <v>111.12414932488969</v>
      </c>
      <c r="K73" s="29">
        <f t="shared" si="11"/>
        <v>204.98280432070484</v>
      </c>
      <c r="L73" s="33">
        <f>I73/400*1000</f>
        <v>430.62</v>
      </c>
      <c r="M73" s="44"/>
      <c r="N73" s="44"/>
      <c r="O73" s="44"/>
    </row>
    <row r="74" spans="2:15" x14ac:dyDescent="0.3">
      <c r="B74" s="31"/>
      <c r="C74" s="31"/>
      <c r="D74" s="31"/>
      <c r="E74" s="31"/>
      <c r="F74" s="31"/>
      <c r="G74" s="31"/>
      <c r="H74" s="31"/>
      <c r="I74" s="32"/>
      <c r="J74" s="32"/>
      <c r="K74" s="32"/>
    </row>
    <row r="75" spans="2:15" x14ac:dyDescent="0.3">
      <c r="B75" s="31"/>
      <c r="C75" s="31"/>
      <c r="D75" s="31"/>
      <c r="E75" s="31"/>
      <c r="F75" s="31"/>
      <c r="G75" s="31"/>
      <c r="H75" s="31"/>
      <c r="I75" s="32"/>
      <c r="J75" s="32"/>
      <c r="K75" s="32"/>
    </row>
    <row r="76" spans="2:15" x14ac:dyDescent="0.3">
      <c r="B76" s="16" t="s">
        <v>17</v>
      </c>
      <c r="C76" s="16"/>
      <c r="D76" s="16"/>
      <c r="E76" s="16"/>
      <c r="F76" s="16"/>
      <c r="G76" s="16"/>
      <c r="H76" s="16"/>
      <c r="I76" s="16"/>
      <c r="J76" s="16"/>
      <c r="K76" s="16"/>
    </row>
    <row r="77" spans="2:15" x14ac:dyDescent="0.3">
      <c r="B77" s="17" t="s">
        <v>24</v>
      </c>
      <c r="C77" s="18" t="s">
        <v>25</v>
      </c>
      <c r="D77" s="18" t="s">
        <v>26</v>
      </c>
      <c r="E77" s="18" t="s">
        <v>27</v>
      </c>
      <c r="F77" s="18" t="s">
        <v>28</v>
      </c>
      <c r="G77" s="18" t="s">
        <v>29</v>
      </c>
      <c r="H77" s="18" t="s">
        <v>30</v>
      </c>
      <c r="I77" s="18" t="s">
        <v>31</v>
      </c>
      <c r="J77" s="18" t="s">
        <v>32</v>
      </c>
      <c r="K77" s="18" t="s">
        <v>33</v>
      </c>
    </row>
    <row r="78" spans="2:15" x14ac:dyDescent="0.3">
      <c r="B78" s="20" t="s">
        <v>35</v>
      </c>
      <c r="C78" s="20">
        <v>100</v>
      </c>
      <c r="D78" s="20">
        <v>0.25</v>
      </c>
      <c r="E78" s="21">
        <v>0.8</v>
      </c>
      <c r="F78" s="20">
        <v>1</v>
      </c>
      <c r="G78" s="20">
        <v>1</v>
      </c>
      <c r="H78" s="20">
        <v>1</v>
      </c>
      <c r="I78" s="21">
        <f t="shared" ref="I78:I91" si="12">C78*D78*F78*G78*H78</f>
        <v>25</v>
      </c>
      <c r="J78" s="21">
        <f>I78*TAN(ACOS(E78))</f>
        <v>18.749999999999993</v>
      </c>
      <c r="K78" s="21">
        <f>SQRT(I78^2+J78^2)</f>
        <v>31.249999999999996</v>
      </c>
    </row>
    <row r="79" spans="2:15" x14ac:dyDescent="0.3">
      <c r="B79" s="20" t="s">
        <v>36</v>
      </c>
      <c r="C79" s="20">
        <v>6</v>
      </c>
      <c r="D79" s="20">
        <f>230*16/1000</f>
        <v>3.68</v>
      </c>
      <c r="E79" s="21">
        <v>1</v>
      </c>
      <c r="F79" s="20">
        <v>1</v>
      </c>
      <c r="G79" s="20">
        <v>0.3</v>
      </c>
      <c r="H79" s="20">
        <v>1</v>
      </c>
      <c r="I79" s="21">
        <f t="shared" si="12"/>
        <v>6.6240000000000006</v>
      </c>
      <c r="J79" s="21">
        <f t="shared" ref="J79:J91" si="13">I79*TAN(ACOS(E79))</f>
        <v>0</v>
      </c>
      <c r="K79" s="21">
        <f t="shared" ref="K79:K92" si="14">SQRT(I79^2+J79^2)</f>
        <v>6.6240000000000006</v>
      </c>
    </row>
    <row r="80" spans="2:15" x14ac:dyDescent="0.3">
      <c r="B80" s="20" t="s">
        <v>37</v>
      </c>
      <c r="C80" s="20">
        <v>2</v>
      </c>
      <c r="D80" s="20">
        <f>3*230*16/1000</f>
        <v>11.04</v>
      </c>
      <c r="E80" s="21">
        <v>0.85</v>
      </c>
      <c r="F80" s="20">
        <v>1</v>
      </c>
      <c r="G80" s="20">
        <v>0.3</v>
      </c>
      <c r="H80" s="20">
        <v>1</v>
      </c>
      <c r="I80" s="21">
        <f t="shared" si="12"/>
        <v>6.6239999999999997</v>
      </c>
      <c r="J80" s="21">
        <f t="shared" si="13"/>
        <v>4.1051864975821495</v>
      </c>
      <c r="K80" s="21">
        <f t="shared" si="14"/>
        <v>7.7929411764705883</v>
      </c>
    </row>
    <row r="81" spans="2:15" x14ac:dyDescent="0.3">
      <c r="B81" s="20" t="s">
        <v>38</v>
      </c>
      <c r="C81" s="20">
        <v>5</v>
      </c>
      <c r="D81" s="20">
        <v>10</v>
      </c>
      <c r="E81" s="21">
        <v>0.85</v>
      </c>
      <c r="F81" s="20">
        <v>0.6</v>
      </c>
      <c r="G81" s="20">
        <v>1</v>
      </c>
      <c r="H81" s="20">
        <v>1</v>
      </c>
      <c r="I81" s="21">
        <f t="shared" si="12"/>
        <v>30</v>
      </c>
      <c r="J81" s="21">
        <f t="shared" si="13"/>
        <v>18.592330152093069</v>
      </c>
      <c r="K81" s="21">
        <f t="shared" si="14"/>
        <v>35.294117647058826</v>
      </c>
    </row>
    <row r="82" spans="2:15" x14ac:dyDescent="0.3">
      <c r="B82" s="20" t="s">
        <v>39</v>
      </c>
      <c r="C82" s="20">
        <v>4</v>
      </c>
      <c r="D82" s="20">
        <v>12</v>
      </c>
      <c r="E82" s="21">
        <v>0.82</v>
      </c>
      <c r="F82" s="20">
        <v>0.5</v>
      </c>
      <c r="G82" s="20">
        <v>1</v>
      </c>
      <c r="H82" s="20">
        <v>2</v>
      </c>
      <c r="I82" s="21">
        <f t="shared" si="12"/>
        <v>48</v>
      </c>
      <c r="J82" s="21">
        <f t="shared" si="13"/>
        <v>33.504206098546391</v>
      </c>
      <c r="K82" s="21">
        <f t="shared" si="14"/>
        <v>58.536585365853661</v>
      </c>
    </row>
    <row r="83" spans="2:15" x14ac:dyDescent="0.3">
      <c r="B83" s="20"/>
      <c r="C83" s="20"/>
      <c r="D83" s="20"/>
      <c r="E83" s="21"/>
      <c r="F83" s="20"/>
      <c r="G83" s="20"/>
      <c r="H83" s="20"/>
      <c r="I83" s="21"/>
      <c r="J83" s="21"/>
      <c r="K83" s="21"/>
    </row>
    <row r="84" spans="2:15" x14ac:dyDescent="0.3">
      <c r="B84" s="20"/>
      <c r="C84" s="20"/>
      <c r="D84" s="20"/>
      <c r="E84" s="21"/>
      <c r="F84" s="20"/>
      <c r="G84" s="20"/>
      <c r="H84" s="20"/>
      <c r="I84" s="21"/>
      <c r="J84" s="21"/>
      <c r="K84" s="21"/>
    </row>
    <row r="85" spans="2:15" x14ac:dyDescent="0.3">
      <c r="B85" s="20"/>
      <c r="C85" s="20"/>
      <c r="D85" s="20"/>
      <c r="E85" s="21"/>
      <c r="F85" s="20"/>
      <c r="G85" s="20"/>
      <c r="H85" s="20"/>
      <c r="I85" s="21"/>
      <c r="J85" s="21"/>
      <c r="K85" s="21"/>
    </row>
    <row r="86" spans="2:15" x14ac:dyDescent="0.3">
      <c r="B86" s="20"/>
      <c r="C86" s="20"/>
      <c r="D86" s="20"/>
      <c r="E86" s="21"/>
      <c r="F86" s="20"/>
      <c r="G86" s="20"/>
      <c r="H86" s="20"/>
      <c r="I86" s="21"/>
      <c r="J86" s="21"/>
      <c r="K86" s="21"/>
    </row>
    <row r="87" spans="2:15" x14ac:dyDescent="0.3">
      <c r="B87" s="20"/>
      <c r="C87" s="20"/>
      <c r="D87" s="20"/>
      <c r="E87" s="21"/>
      <c r="F87" s="20"/>
      <c r="G87" s="20"/>
      <c r="H87" s="20"/>
      <c r="I87" s="21"/>
      <c r="J87" s="21"/>
      <c r="K87" s="21"/>
    </row>
    <row r="88" spans="2:15" x14ac:dyDescent="0.3">
      <c r="B88" s="20"/>
      <c r="C88" s="20"/>
      <c r="D88" s="20"/>
      <c r="E88" s="21"/>
      <c r="F88" s="20"/>
      <c r="G88" s="20"/>
      <c r="H88" s="20"/>
      <c r="I88" s="21"/>
      <c r="J88" s="21"/>
      <c r="K88" s="21"/>
    </row>
    <row r="89" spans="2:15" x14ac:dyDescent="0.3">
      <c r="B89" s="20"/>
      <c r="C89" s="20"/>
      <c r="D89" s="20"/>
      <c r="E89" s="21"/>
      <c r="F89" s="20"/>
      <c r="G89" s="20"/>
      <c r="H89" s="20"/>
      <c r="I89" s="21"/>
      <c r="J89" s="21"/>
      <c r="K89" s="21"/>
    </row>
    <row r="90" spans="2:15" x14ac:dyDescent="0.3">
      <c r="B90" s="20"/>
      <c r="C90" s="20"/>
      <c r="D90" s="20"/>
      <c r="E90" s="21"/>
      <c r="F90" s="20"/>
      <c r="G90" s="20"/>
      <c r="H90" s="20"/>
      <c r="I90" s="21"/>
      <c r="J90" s="21"/>
      <c r="K90" s="21"/>
    </row>
    <row r="91" spans="2:15" x14ac:dyDescent="0.3">
      <c r="B91" s="20" t="s">
        <v>41</v>
      </c>
      <c r="C91" s="20">
        <v>4</v>
      </c>
      <c r="D91" s="20">
        <v>20</v>
      </c>
      <c r="E91" s="21">
        <v>0.84</v>
      </c>
      <c r="F91" s="20">
        <v>0.7</v>
      </c>
      <c r="G91" s="20">
        <v>1</v>
      </c>
      <c r="H91" s="20">
        <v>1</v>
      </c>
      <c r="I91" s="21">
        <f t="shared" ref="I91:I92" si="15">C91*D91*F91*G91*H91</f>
        <v>56</v>
      </c>
      <c r="J91" s="21">
        <f t="shared" ref="J91:J92" si="16">I91*TAN(ACOS(E91))</f>
        <v>36.172426576668087</v>
      </c>
      <c r="K91" s="21">
        <f t="shared" ref="K91:K92" si="17">SQRT(I91^2+J91^2)</f>
        <v>66.666666666666657</v>
      </c>
    </row>
    <row r="92" spans="2:15" x14ac:dyDescent="0.3">
      <c r="B92" s="16" t="s">
        <v>40</v>
      </c>
      <c r="C92" s="16"/>
      <c r="D92" s="16"/>
      <c r="E92" s="16"/>
      <c r="F92" s="16"/>
      <c r="G92" s="16"/>
      <c r="H92" s="28"/>
      <c r="I92" s="29">
        <f>SUM(I78:I91)</f>
        <v>172.24799999999999</v>
      </c>
      <c r="J92" s="29">
        <f>SUM(J78:J91)</f>
        <v>111.12414932488969</v>
      </c>
      <c r="K92" s="29">
        <f t="shared" si="17"/>
        <v>204.98280432070484</v>
      </c>
      <c r="L92" s="33">
        <f>I92/400*1000</f>
        <v>430.62</v>
      </c>
      <c r="M92" s="44"/>
      <c r="N92" s="44"/>
      <c r="O92" s="44"/>
    </row>
    <row r="95" spans="2:15" x14ac:dyDescent="0.3">
      <c r="B95" s="16" t="s">
        <v>18</v>
      </c>
      <c r="C95" s="16"/>
      <c r="D95" s="16"/>
      <c r="E95" s="16"/>
      <c r="F95" s="16"/>
      <c r="G95" s="16"/>
      <c r="H95" s="16"/>
      <c r="I95" s="16"/>
      <c r="J95" s="16"/>
      <c r="K95" s="16"/>
    </row>
    <row r="96" spans="2:15" x14ac:dyDescent="0.3">
      <c r="B96" s="17" t="s">
        <v>24</v>
      </c>
      <c r="C96" s="18" t="s">
        <v>25</v>
      </c>
      <c r="D96" s="18" t="s">
        <v>26</v>
      </c>
      <c r="E96" s="18" t="s">
        <v>27</v>
      </c>
      <c r="F96" s="18" t="s">
        <v>28</v>
      </c>
      <c r="G96" s="18" t="s">
        <v>29</v>
      </c>
      <c r="H96" s="18" t="s">
        <v>30</v>
      </c>
      <c r="I96" s="18" t="s">
        <v>31</v>
      </c>
      <c r="J96" s="18" t="s">
        <v>32</v>
      </c>
      <c r="K96" s="18" t="s">
        <v>33</v>
      </c>
    </row>
    <row r="97" spans="2:15" x14ac:dyDescent="0.3">
      <c r="B97" s="20" t="s">
        <v>35</v>
      </c>
      <c r="C97" s="20">
        <v>100</v>
      </c>
      <c r="D97" s="20">
        <v>0.25</v>
      </c>
      <c r="E97" s="21">
        <v>0.8</v>
      </c>
      <c r="F97" s="20">
        <v>1</v>
      </c>
      <c r="G97" s="20">
        <v>1</v>
      </c>
      <c r="H97" s="20">
        <v>1</v>
      </c>
      <c r="I97" s="21">
        <f t="shared" ref="I97:I100" si="18">C97*D97*F97*G97*H97</f>
        <v>25</v>
      </c>
      <c r="J97" s="21">
        <f>I97*TAN(ACOS(E97))</f>
        <v>18.749999999999993</v>
      </c>
      <c r="K97" s="21">
        <f>SQRT(I97^2+J97^2)</f>
        <v>31.249999999999996</v>
      </c>
    </row>
    <row r="98" spans="2:15" x14ac:dyDescent="0.3">
      <c r="B98" s="20" t="s">
        <v>36</v>
      </c>
      <c r="C98" s="20">
        <v>6</v>
      </c>
      <c r="D98" s="20">
        <f>230*16/1000</f>
        <v>3.68</v>
      </c>
      <c r="E98" s="21">
        <v>1</v>
      </c>
      <c r="F98" s="20">
        <v>1</v>
      </c>
      <c r="G98" s="20">
        <v>0.3</v>
      </c>
      <c r="H98" s="20">
        <v>1</v>
      </c>
      <c r="I98" s="21">
        <f t="shared" si="18"/>
        <v>6.6240000000000006</v>
      </c>
      <c r="J98" s="21">
        <f t="shared" ref="J98:J100" si="19">I98*TAN(ACOS(E98))</f>
        <v>0</v>
      </c>
      <c r="K98" s="21">
        <f t="shared" ref="K98:K100" si="20">SQRT(I98^2+J98^2)</f>
        <v>6.6240000000000006</v>
      </c>
    </row>
    <row r="99" spans="2:15" x14ac:dyDescent="0.3">
      <c r="B99" s="20" t="s">
        <v>37</v>
      </c>
      <c r="C99" s="20">
        <v>2</v>
      </c>
      <c r="D99" s="20">
        <f>3*230*16/1000</f>
        <v>11.04</v>
      </c>
      <c r="E99" s="21">
        <v>0.85</v>
      </c>
      <c r="F99" s="20">
        <v>1</v>
      </c>
      <c r="G99" s="20">
        <v>0.3</v>
      </c>
      <c r="H99" s="20">
        <v>1</v>
      </c>
      <c r="I99" s="21">
        <f t="shared" si="18"/>
        <v>6.6239999999999997</v>
      </c>
      <c r="J99" s="21">
        <f t="shared" si="19"/>
        <v>4.1051864975821495</v>
      </c>
      <c r="K99" s="21">
        <f t="shared" si="20"/>
        <v>7.7929411764705883</v>
      </c>
    </row>
    <row r="100" spans="2:15" x14ac:dyDescent="0.3">
      <c r="B100" s="20" t="s">
        <v>38</v>
      </c>
      <c r="C100" s="20">
        <v>5</v>
      </c>
      <c r="D100" s="20">
        <v>10</v>
      </c>
      <c r="E100" s="21">
        <v>0.85</v>
      </c>
      <c r="F100" s="20">
        <v>0.6</v>
      </c>
      <c r="G100" s="20">
        <v>1</v>
      </c>
      <c r="H100" s="20">
        <v>1</v>
      </c>
      <c r="I100" s="21">
        <f t="shared" si="18"/>
        <v>30</v>
      </c>
      <c r="J100" s="21">
        <f t="shared" si="19"/>
        <v>18.592330152093069</v>
      </c>
      <c r="K100" s="21">
        <f t="shared" si="20"/>
        <v>35.294117647058826</v>
      </c>
    </row>
    <row r="101" spans="2:15" x14ac:dyDescent="0.3">
      <c r="B101" s="20"/>
      <c r="C101" s="20"/>
      <c r="D101" s="20"/>
      <c r="E101" s="21"/>
      <c r="F101" s="20"/>
      <c r="G101" s="20"/>
      <c r="H101" s="20"/>
      <c r="I101" s="21"/>
      <c r="J101" s="21"/>
      <c r="K101" s="21"/>
    </row>
    <row r="102" spans="2:15" x14ac:dyDescent="0.3">
      <c r="B102" s="20"/>
      <c r="C102" s="20"/>
      <c r="D102" s="20"/>
      <c r="E102" s="21"/>
      <c r="F102" s="20"/>
      <c r="G102" s="20"/>
      <c r="H102" s="20"/>
      <c r="I102" s="21"/>
      <c r="J102" s="21"/>
      <c r="K102" s="21"/>
    </row>
    <row r="103" spans="2:15" x14ac:dyDescent="0.3">
      <c r="B103" s="20"/>
      <c r="C103" s="20"/>
      <c r="D103" s="20"/>
      <c r="E103" s="21"/>
      <c r="F103" s="20"/>
      <c r="G103" s="20"/>
      <c r="H103" s="20"/>
      <c r="I103" s="21"/>
      <c r="J103" s="21"/>
      <c r="K103" s="21"/>
    </row>
    <row r="104" spans="2:15" x14ac:dyDescent="0.3">
      <c r="B104" s="20"/>
      <c r="C104" s="20"/>
      <c r="D104" s="20"/>
      <c r="E104" s="21"/>
      <c r="F104" s="20"/>
      <c r="G104" s="20"/>
      <c r="H104" s="20"/>
      <c r="I104" s="21"/>
      <c r="J104" s="21"/>
      <c r="K104" s="21"/>
    </row>
    <row r="105" spans="2:15" x14ac:dyDescent="0.3">
      <c r="B105" s="20"/>
      <c r="C105" s="20"/>
      <c r="D105" s="20"/>
      <c r="E105" s="21"/>
      <c r="F105" s="20"/>
      <c r="G105" s="20"/>
      <c r="H105" s="20"/>
      <c r="I105" s="21"/>
      <c r="J105" s="21"/>
      <c r="K105" s="21"/>
    </row>
    <row r="106" spans="2:15" x14ac:dyDescent="0.3">
      <c r="B106" s="20"/>
      <c r="C106" s="20"/>
      <c r="D106" s="20"/>
      <c r="E106" s="21"/>
      <c r="F106" s="20"/>
      <c r="G106" s="20"/>
      <c r="H106" s="20"/>
      <c r="I106" s="21"/>
      <c r="J106" s="21"/>
      <c r="K106" s="21"/>
    </row>
    <row r="107" spans="2:15" x14ac:dyDescent="0.3">
      <c r="B107" s="20"/>
      <c r="C107" s="20"/>
      <c r="D107" s="20"/>
      <c r="E107" s="21"/>
      <c r="F107" s="20"/>
      <c r="G107" s="20"/>
      <c r="H107" s="20"/>
      <c r="I107" s="21"/>
      <c r="J107" s="21"/>
      <c r="K107" s="21"/>
    </row>
    <row r="108" spans="2:15" x14ac:dyDescent="0.3">
      <c r="B108" s="20"/>
      <c r="C108" s="20"/>
      <c r="D108" s="20"/>
      <c r="E108" s="21"/>
      <c r="F108" s="20"/>
      <c r="G108" s="20"/>
      <c r="H108" s="20"/>
      <c r="I108" s="21"/>
      <c r="J108" s="21"/>
      <c r="K108" s="21"/>
    </row>
    <row r="109" spans="2:15" x14ac:dyDescent="0.3">
      <c r="B109" s="20"/>
      <c r="C109" s="20"/>
      <c r="D109" s="20"/>
      <c r="E109" s="21"/>
      <c r="F109" s="20"/>
      <c r="G109" s="20"/>
      <c r="H109" s="20"/>
      <c r="I109" s="21"/>
      <c r="J109" s="21"/>
      <c r="K109" s="21"/>
    </row>
    <row r="110" spans="2:15" x14ac:dyDescent="0.3">
      <c r="B110" s="20" t="s">
        <v>41</v>
      </c>
      <c r="C110" s="20">
        <v>4</v>
      </c>
      <c r="D110" s="20">
        <v>20</v>
      </c>
      <c r="E110" s="21">
        <v>0.84</v>
      </c>
      <c r="F110" s="20">
        <v>0.7</v>
      </c>
      <c r="G110" s="20">
        <v>1</v>
      </c>
      <c r="H110" s="20">
        <v>1</v>
      </c>
      <c r="I110" s="21">
        <f t="shared" ref="I110:I111" si="21">C110*D110*F110*G110*H110</f>
        <v>56</v>
      </c>
      <c r="J110" s="21">
        <f t="shared" ref="J110:J111" si="22">I110*TAN(ACOS(E110))</f>
        <v>36.172426576668087</v>
      </c>
      <c r="K110" s="21">
        <f t="shared" ref="K110:K111" si="23">SQRT(I110^2+J110^2)</f>
        <v>66.666666666666657</v>
      </c>
    </row>
    <row r="111" spans="2:15" x14ac:dyDescent="0.3">
      <c r="B111" s="16" t="s">
        <v>40</v>
      </c>
      <c r="C111" s="16"/>
      <c r="D111" s="16"/>
      <c r="E111" s="16"/>
      <c r="F111" s="16"/>
      <c r="G111" s="16"/>
      <c r="H111" s="28"/>
      <c r="I111" s="29">
        <f>SUM(I97:I110)</f>
        <v>124.248</v>
      </c>
      <c r="J111" s="29">
        <f>SUM(J97:J110)</f>
        <v>77.619943226343295</v>
      </c>
      <c r="K111" s="29">
        <f t="shared" si="23"/>
        <v>146.5005839253235</v>
      </c>
      <c r="L111" s="33">
        <f>I111/400*1000</f>
        <v>310.62</v>
      </c>
      <c r="M111" s="44"/>
      <c r="N111" s="44"/>
      <c r="O111" s="44"/>
    </row>
    <row r="114" spans="2:11" x14ac:dyDescent="0.3">
      <c r="B114" s="16" t="s">
        <v>19</v>
      </c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2:11" x14ac:dyDescent="0.3">
      <c r="B115" s="17" t="s">
        <v>24</v>
      </c>
      <c r="C115" s="18" t="s">
        <v>25</v>
      </c>
      <c r="D115" s="18" t="s">
        <v>26</v>
      </c>
      <c r="E115" s="18" t="s">
        <v>27</v>
      </c>
      <c r="F115" s="18" t="s">
        <v>28</v>
      </c>
      <c r="G115" s="18" t="s">
        <v>29</v>
      </c>
      <c r="H115" s="18" t="s">
        <v>30</v>
      </c>
      <c r="I115" s="18" t="s">
        <v>31</v>
      </c>
      <c r="J115" s="18" t="s">
        <v>32</v>
      </c>
      <c r="K115" s="18" t="s">
        <v>33</v>
      </c>
    </row>
    <row r="116" spans="2:11" x14ac:dyDescent="0.3">
      <c r="B116" s="20" t="s">
        <v>35</v>
      </c>
      <c r="C116" s="20">
        <v>100</v>
      </c>
      <c r="D116" s="20">
        <v>0.25</v>
      </c>
      <c r="E116" s="21">
        <v>0.8</v>
      </c>
      <c r="F116" s="20">
        <v>1</v>
      </c>
      <c r="G116" s="20">
        <v>1</v>
      </c>
      <c r="H116" s="20">
        <v>1</v>
      </c>
      <c r="I116" s="21">
        <f t="shared" ref="I116:I129" si="24">C116*D116*F116*G116*H116</f>
        <v>25</v>
      </c>
      <c r="J116" s="21">
        <f>I116*TAN(ACOS(E116))</f>
        <v>18.749999999999993</v>
      </c>
      <c r="K116" s="21">
        <f>SQRT(I116^2+J116^2)</f>
        <v>31.249999999999996</v>
      </c>
    </row>
    <row r="117" spans="2:11" x14ac:dyDescent="0.3">
      <c r="B117" s="20" t="s">
        <v>36</v>
      </c>
      <c r="C117" s="20">
        <v>6</v>
      </c>
      <c r="D117" s="20">
        <f>230*16/1000</f>
        <v>3.68</v>
      </c>
      <c r="E117" s="21">
        <v>1</v>
      </c>
      <c r="F117" s="20">
        <v>1</v>
      </c>
      <c r="G117" s="20">
        <v>0.3</v>
      </c>
      <c r="H117" s="20">
        <v>1</v>
      </c>
      <c r="I117" s="21">
        <f t="shared" si="24"/>
        <v>6.6240000000000006</v>
      </c>
      <c r="J117" s="21">
        <f t="shared" ref="J117:J129" si="25">I117*TAN(ACOS(E117))</f>
        <v>0</v>
      </c>
      <c r="K117" s="21">
        <f t="shared" ref="K117:K130" si="26">SQRT(I117^2+J117^2)</f>
        <v>6.6240000000000006</v>
      </c>
    </row>
    <row r="118" spans="2:11" x14ac:dyDescent="0.3">
      <c r="B118" s="20" t="s">
        <v>37</v>
      </c>
      <c r="C118" s="20">
        <v>2</v>
      </c>
      <c r="D118" s="20">
        <f>3*230*16/1000</f>
        <v>11.04</v>
      </c>
      <c r="E118" s="21">
        <v>0.85</v>
      </c>
      <c r="F118" s="20">
        <v>1</v>
      </c>
      <c r="G118" s="20">
        <v>0.3</v>
      </c>
      <c r="H118" s="20">
        <v>1</v>
      </c>
      <c r="I118" s="21">
        <f t="shared" si="24"/>
        <v>6.6239999999999997</v>
      </c>
      <c r="J118" s="21">
        <f t="shared" si="25"/>
        <v>4.1051864975821495</v>
      </c>
      <c r="K118" s="21">
        <f t="shared" si="26"/>
        <v>7.7929411764705883</v>
      </c>
    </row>
    <row r="119" spans="2:11" x14ac:dyDescent="0.3">
      <c r="B119" s="20" t="s">
        <v>38</v>
      </c>
      <c r="C119" s="20">
        <v>5</v>
      </c>
      <c r="D119" s="20">
        <v>10</v>
      </c>
      <c r="E119" s="21">
        <v>0.85</v>
      </c>
      <c r="F119" s="20">
        <v>0.6</v>
      </c>
      <c r="G119" s="20">
        <v>1</v>
      </c>
      <c r="H119" s="20">
        <v>1</v>
      </c>
      <c r="I119" s="21">
        <f t="shared" si="24"/>
        <v>30</v>
      </c>
      <c r="J119" s="21">
        <f t="shared" si="25"/>
        <v>18.592330152093069</v>
      </c>
      <c r="K119" s="21">
        <f t="shared" si="26"/>
        <v>35.294117647058826</v>
      </c>
    </row>
    <row r="120" spans="2:11" x14ac:dyDescent="0.3">
      <c r="B120" s="20" t="s">
        <v>39</v>
      </c>
      <c r="C120" s="20">
        <v>4</v>
      </c>
      <c r="D120" s="20">
        <v>12</v>
      </c>
      <c r="E120" s="21">
        <v>0.82</v>
      </c>
      <c r="F120" s="20">
        <v>0.5</v>
      </c>
      <c r="G120" s="20">
        <v>1</v>
      </c>
      <c r="H120" s="20">
        <v>2</v>
      </c>
      <c r="I120" s="21">
        <f t="shared" si="24"/>
        <v>48</v>
      </c>
      <c r="J120" s="21">
        <f t="shared" si="25"/>
        <v>33.504206098546391</v>
      </c>
      <c r="K120" s="21">
        <f t="shared" si="26"/>
        <v>58.536585365853661</v>
      </c>
    </row>
    <row r="121" spans="2:11" x14ac:dyDescent="0.3">
      <c r="B121" s="20" t="s">
        <v>39</v>
      </c>
      <c r="C121" s="20">
        <v>4</v>
      </c>
      <c r="D121" s="20">
        <v>12</v>
      </c>
      <c r="E121" s="21">
        <v>0.82</v>
      </c>
      <c r="F121" s="20">
        <v>0.5</v>
      </c>
      <c r="G121" s="20">
        <v>1</v>
      </c>
      <c r="H121" s="20">
        <v>2</v>
      </c>
      <c r="I121" s="21">
        <f t="shared" si="24"/>
        <v>48</v>
      </c>
      <c r="J121" s="21">
        <f t="shared" si="25"/>
        <v>33.504206098546391</v>
      </c>
      <c r="K121" s="21">
        <f t="shared" si="26"/>
        <v>58.536585365853661</v>
      </c>
    </row>
    <row r="122" spans="2:11" x14ac:dyDescent="0.3">
      <c r="B122" s="20"/>
      <c r="C122" s="20"/>
      <c r="D122" s="20"/>
      <c r="E122" s="21"/>
      <c r="F122" s="20"/>
      <c r="G122" s="20"/>
      <c r="H122" s="20"/>
      <c r="I122" s="21"/>
      <c r="J122" s="21"/>
      <c r="K122" s="21"/>
    </row>
    <row r="123" spans="2:11" x14ac:dyDescent="0.3">
      <c r="B123" s="20"/>
      <c r="C123" s="20"/>
      <c r="D123" s="20"/>
      <c r="E123" s="21"/>
      <c r="F123" s="20"/>
      <c r="G123" s="20"/>
      <c r="H123" s="20"/>
      <c r="I123" s="21"/>
      <c r="J123" s="21"/>
      <c r="K123" s="21"/>
    </row>
    <row r="124" spans="2:11" x14ac:dyDescent="0.3">
      <c r="B124" s="20"/>
      <c r="C124" s="20"/>
      <c r="D124" s="20"/>
      <c r="E124" s="21"/>
      <c r="F124" s="20"/>
      <c r="G124" s="20"/>
      <c r="H124" s="20"/>
      <c r="I124" s="21"/>
      <c r="J124" s="21"/>
      <c r="K124" s="21"/>
    </row>
    <row r="125" spans="2:11" x14ac:dyDescent="0.3">
      <c r="B125" s="20"/>
      <c r="C125" s="20"/>
      <c r="D125" s="20"/>
      <c r="E125" s="21"/>
      <c r="F125" s="20"/>
      <c r="G125" s="20"/>
      <c r="H125" s="20"/>
      <c r="I125" s="21"/>
      <c r="J125" s="21"/>
      <c r="K125" s="21"/>
    </row>
    <row r="126" spans="2:11" x14ac:dyDescent="0.3">
      <c r="B126" s="20"/>
      <c r="C126" s="20"/>
      <c r="D126" s="20"/>
      <c r="E126" s="21"/>
      <c r="F126" s="20"/>
      <c r="G126" s="20"/>
      <c r="H126" s="20"/>
      <c r="I126" s="21"/>
      <c r="J126" s="21"/>
      <c r="K126" s="21"/>
    </row>
    <row r="127" spans="2:11" x14ac:dyDescent="0.3">
      <c r="B127" s="20"/>
      <c r="C127" s="20"/>
      <c r="D127" s="20"/>
      <c r="E127" s="21"/>
      <c r="F127" s="20"/>
      <c r="G127" s="20"/>
      <c r="H127" s="20"/>
      <c r="I127" s="21"/>
      <c r="J127" s="21"/>
      <c r="K127" s="21"/>
    </row>
    <row r="128" spans="2:11" x14ac:dyDescent="0.3">
      <c r="B128" s="20"/>
      <c r="C128" s="20"/>
      <c r="D128" s="20"/>
      <c r="E128" s="21"/>
      <c r="F128" s="20"/>
      <c r="G128" s="20"/>
      <c r="H128" s="20"/>
      <c r="I128" s="21"/>
      <c r="J128" s="21"/>
      <c r="K128" s="21"/>
    </row>
    <row r="129" spans="2:15" x14ac:dyDescent="0.3">
      <c r="B129" s="20" t="s">
        <v>41</v>
      </c>
      <c r="C129" s="20">
        <v>4</v>
      </c>
      <c r="D129" s="20">
        <v>20</v>
      </c>
      <c r="E129" s="21">
        <v>0.84</v>
      </c>
      <c r="F129" s="20">
        <v>0.7</v>
      </c>
      <c r="G129" s="20">
        <v>1</v>
      </c>
      <c r="H129" s="20">
        <v>1</v>
      </c>
      <c r="I129" s="21">
        <f t="shared" ref="I129:I130" si="27">C129*D129*F129*G129*H129</f>
        <v>56</v>
      </c>
      <c r="J129" s="21">
        <f t="shared" ref="J129:J130" si="28">I129*TAN(ACOS(E129))</f>
        <v>36.172426576668087</v>
      </c>
      <c r="K129" s="21">
        <f t="shared" ref="K129:K130" si="29">SQRT(I129^2+J129^2)</f>
        <v>66.666666666666657</v>
      </c>
    </row>
    <row r="130" spans="2:15" x14ac:dyDescent="0.3">
      <c r="B130" s="16" t="s">
        <v>40</v>
      </c>
      <c r="C130" s="16"/>
      <c r="D130" s="16"/>
      <c r="E130" s="16"/>
      <c r="F130" s="16"/>
      <c r="G130" s="16"/>
      <c r="H130" s="28"/>
      <c r="I130" s="29">
        <f>SUM(I116:I129)</f>
        <v>220.24799999999999</v>
      </c>
      <c r="J130" s="29">
        <f>SUM(J116:J129)</f>
        <v>144.62835542343606</v>
      </c>
      <c r="K130" s="29">
        <f t="shared" si="29"/>
        <v>263.48916997950357</v>
      </c>
      <c r="L130" s="33">
        <f>I130/400*1000</f>
        <v>550.62</v>
      </c>
      <c r="M130" s="44"/>
      <c r="N130" s="44"/>
      <c r="O130" s="44"/>
    </row>
  </sheetData>
  <mergeCells count="14">
    <mergeCell ref="B95:K95"/>
    <mergeCell ref="B111:G111"/>
    <mergeCell ref="B114:K114"/>
    <mergeCell ref="B130:G130"/>
    <mergeCell ref="B2:K2"/>
    <mergeCell ref="B20:G20"/>
    <mergeCell ref="B76:K76"/>
    <mergeCell ref="B92:G92"/>
    <mergeCell ref="B40:K40"/>
    <mergeCell ref="B54:G54"/>
    <mergeCell ref="B22:K22"/>
    <mergeCell ref="B37:G37"/>
    <mergeCell ref="B57:K57"/>
    <mergeCell ref="B73:G73"/>
  </mergeCells>
  <pageMargins left="0.56999999999999995" right="0.70866141732283472" top="0.74803149606299213" bottom="0.74803149606299213" header="0.31496062992125984" footer="0.31496062992125984"/>
  <pageSetup paperSize="9" scale="15" orientation="portrait" r:id="rId1"/>
  <headerFooter>
    <oddFooter>&amp;R&amp;1#&amp;"Arial"&amp;10&amp;K000000Confidential C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6ECF21D0608A449E26CF771629F326" ma:contentTypeVersion="11" ma:contentTypeDescription="Create a new document." ma:contentTypeScope="" ma:versionID="891f5cf3bf6ec199ec54f7f024301792">
  <xsd:schema xmlns:xsd="http://www.w3.org/2001/XMLSchema" xmlns:xs="http://www.w3.org/2001/XMLSchema" xmlns:p="http://schemas.microsoft.com/office/2006/metadata/properties" xmlns:ns3="0455f72e-47bd-411c-89c0-0f8aae729f98" xmlns:ns4="f3b3352f-7e0b-4e8d-bb0f-d401f7216bc9" targetNamespace="http://schemas.microsoft.com/office/2006/metadata/properties" ma:root="true" ma:fieldsID="8589d6b889b27640f2ad51e58020ec8e" ns3:_="" ns4:_="">
    <xsd:import namespace="0455f72e-47bd-411c-89c0-0f8aae729f98"/>
    <xsd:import namespace="f3b3352f-7e0b-4e8d-bb0f-d401f7216b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5f72e-47bd-411c-89c0-0f8aae729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3352f-7e0b-4e8d-bb0f-d401f7216b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84705D-CAAA-4E21-8403-3E05E98103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55f72e-47bd-411c-89c0-0f8aae729f98"/>
    <ds:schemaRef ds:uri="f3b3352f-7e0b-4e8d-bb0f-d401f7216b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BB6131-EFA7-41E8-9220-FAFA7B9993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4A7688-A998-4056-967E-F18D4BFEB43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CENTRO DE CARGAS</vt:lpstr>
      <vt:lpstr>bal_pot_exemplo</vt:lpstr>
    </vt:vector>
  </TitlesOfParts>
  <Company>ESTGA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Sá</dc:creator>
  <cp:lastModifiedBy>Seabra Claudio</cp:lastModifiedBy>
  <dcterms:created xsi:type="dcterms:W3CDTF">2014-10-06T13:18:28Z</dcterms:created>
  <dcterms:modified xsi:type="dcterms:W3CDTF">2020-11-11T21:33:36Z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1c0902-ed92-4fed-896d-2e7725de02d4_Enabled">
    <vt:lpwstr>true</vt:lpwstr>
  </property>
  <property fmtid="{D5CDD505-2E9C-101B-9397-08002B2CF9AE}" pid="3" name="MSIP_Label_fd1c0902-ed92-4fed-896d-2e7725de02d4_SetDate">
    <vt:lpwstr>2020-11-11T21:10:30Z</vt:lpwstr>
  </property>
  <property fmtid="{D5CDD505-2E9C-101B-9397-08002B2CF9AE}" pid="4" name="MSIP_Label_fd1c0902-ed92-4fed-896d-2e7725de02d4_Method">
    <vt:lpwstr>Standard</vt:lpwstr>
  </property>
  <property fmtid="{D5CDD505-2E9C-101B-9397-08002B2CF9AE}" pid="5" name="MSIP_Label_fd1c0902-ed92-4fed-896d-2e7725de02d4_Name">
    <vt:lpwstr>Anyone (not protected)</vt:lpwstr>
  </property>
  <property fmtid="{D5CDD505-2E9C-101B-9397-08002B2CF9AE}" pid="6" name="MSIP_Label_fd1c0902-ed92-4fed-896d-2e7725de02d4_SiteId">
    <vt:lpwstr>d6b0bbee-7cd9-4d60-bce6-4a67b543e2ae</vt:lpwstr>
  </property>
  <property fmtid="{D5CDD505-2E9C-101B-9397-08002B2CF9AE}" pid="7" name="MSIP_Label_fd1c0902-ed92-4fed-896d-2e7725de02d4_ActionId">
    <vt:lpwstr>88ccce7a-a926-4f2b-8262-de09f8a77b96</vt:lpwstr>
  </property>
  <property fmtid="{D5CDD505-2E9C-101B-9397-08002B2CF9AE}" pid="8" name="MSIP_Label_fd1c0902-ed92-4fed-896d-2e7725de02d4_ContentBits">
    <vt:lpwstr>2</vt:lpwstr>
  </property>
  <property fmtid="{D5CDD505-2E9C-101B-9397-08002B2CF9AE}" pid="9" name="ContentTypeId">
    <vt:lpwstr>0x010100A96ECF21D0608A449E26CF771629F326</vt:lpwstr>
  </property>
</Properties>
</file>