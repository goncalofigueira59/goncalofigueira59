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30" windowWidth="15390" windowHeight="8055"/>
  </bookViews>
  <sheets>
    <sheet name="bal_pot_exemplo" sheetId="2" r:id="rId1"/>
    <sheet name="Folha3" sheetId="3" r:id="rId2"/>
  </sheets>
  <calcPr calcId="125725"/>
</workbook>
</file>

<file path=xl/calcChain.xml><?xml version="1.0" encoding="utf-8"?>
<calcChain xmlns="http://schemas.openxmlformats.org/spreadsheetml/2006/main">
  <c r="J19" i="2"/>
  <c r="K19" s="1"/>
  <c r="I19"/>
  <c r="I18"/>
  <c r="J18" s="1"/>
  <c r="I17"/>
  <c r="J17" s="1"/>
  <c r="K17" s="1"/>
  <c r="D16"/>
  <c r="I16" s="1"/>
  <c r="D15"/>
  <c r="I15" s="1"/>
  <c r="I14"/>
  <c r="J14" s="1"/>
  <c r="I41"/>
  <c r="J41" s="1"/>
  <c r="I40"/>
  <c r="J40" s="1"/>
  <c r="I39"/>
  <c r="J39" s="1"/>
  <c r="K39" s="1"/>
  <c r="D38"/>
  <c r="I38" s="1"/>
  <c r="D37"/>
  <c r="I37" s="1"/>
  <c r="I36"/>
  <c r="I30"/>
  <c r="J30" s="1"/>
  <c r="I29"/>
  <c r="J29" s="1"/>
  <c r="I28"/>
  <c r="J28" s="1"/>
  <c r="D27"/>
  <c r="I27" s="1"/>
  <c r="J27" s="1"/>
  <c r="D26"/>
  <c r="I26" s="1"/>
  <c r="J26" s="1"/>
  <c r="I25"/>
  <c r="I9"/>
  <c r="J9" s="1"/>
  <c r="I8"/>
  <c r="I5"/>
  <c r="J5" s="1"/>
  <c r="D7"/>
  <c r="I7" s="1"/>
  <c r="J7" s="1"/>
  <c r="K7" s="1"/>
  <c r="D6"/>
  <c r="I6" s="1"/>
  <c r="K14" l="1"/>
  <c r="J16"/>
  <c r="K16" s="1"/>
  <c r="J15"/>
  <c r="K15" s="1"/>
  <c r="K18"/>
  <c r="K41"/>
  <c r="K28"/>
  <c r="J36"/>
  <c r="J37"/>
  <c r="K37" s="1"/>
  <c r="J38"/>
  <c r="K38" s="1"/>
  <c r="K40"/>
  <c r="K30"/>
  <c r="K27"/>
  <c r="I31"/>
  <c r="K26"/>
  <c r="J25"/>
  <c r="J31" s="1"/>
  <c r="K29"/>
  <c r="K9"/>
  <c r="J6"/>
  <c r="K6" s="1"/>
  <c r="K5"/>
  <c r="I10"/>
  <c r="J8"/>
  <c r="K8" s="1"/>
  <c r="D20" l="1"/>
  <c r="I20" s="1"/>
  <c r="D43"/>
  <c r="I43" s="1"/>
  <c r="K31"/>
  <c r="E43" s="1"/>
  <c r="K36"/>
  <c r="K25"/>
  <c r="J10"/>
  <c r="I21" l="1"/>
  <c r="J43"/>
  <c r="K43" s="1"/>
  <c r="K10"/>
  <c r="E20" l="1"/>
  <c r="J20" s="1"/>
  <c r="D42"/>
  <c r="I42" s="1"/>
  <c r="I44" s="1"/>
  <c r="J21" l="1"/>
  <c r="K21" s="1"/>
  <c r="E42" s="1"/>
  <c r="J42" s="1"/>
  <c r="K20"/>
  <c r="K42" l="1"/>
  <c r="J44"/>
  <c r="K44" s="1"/>
</calcChain>
</file>

<file path=xl/sharedStrings.xml><?xml version="1.0" encoding="utf-8"?>
<sst xmlns="http://schemas.openxmlformats.org/spreadsheetml/2006/main" count="80" uniqueCount="24">
  <si>
    <t>Ku</t>
  </si>
  <si>
    <t>Ks</t>
  </si>
  <si>
    <t>Equipamento</t>
  </si>
  <si>
    <t>Nº Equi.</t>
  </si>
  <si>
    <t>Iluminação</t>
  </si>
  <si>
    <t>QP1</t>
  </si>
  <si>
    <t>Total</t>
  </si>
  <si>
    <t>Máquina tipo 1</t>
  </si>
  <si>
    <t>Máquina tipo 2</t>
  </si>
  <si>
    <t>Máquina tipo 3</t>
  </si>
  <si>
    <t>Pun (kW)</t>
  </si>
  <si>
    <r>
      <t xml:space="preserve">cos </t>
    </r>
    <r>
      <rPr>
        <sz val="11"/>
        <color theme="1"/>
        <rFont val="Symbol"/>
        <family val="1"/>
        <charset val="2"/>
      </rPr>
      <t>j</t>
    </r>
  </si>
  <si>
    <t>Ke</t>
  </si>
  <si>
    <t>P (kW)</t>
  </si>
  <si>
    <t>Q (kvar)</t>
  </si>
  <si>
    <t>S (kVA)</t>
  </si>
  <si>
    <t>QP2</t>
  </si>
  <si>
    <t>Tomadas monofásicas</t>
  </si>
  <si>
    <t>Tomadas trifásicas</t>
  </si>
  <si>
    <t>Parcial</t>
  </si>
  <si>
    <t>QP1.1</t>
  </si>
  <si>
    <t>Balanço de Potência</t>
  </si>
  <si>
    <t>QGE</t>
  </si>
  <si>
    <t>Exemplo (diagrama de QE)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</si>
</sst>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 diagonalUp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Up="1">
      <left/>
      <right/>
      <top/>
      <bottom/>
      <diagonal style="medium">
        <color auto="1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Fill="1" applyBorder="1"/>
    <xf numFmtId="0" fontId="0" fillId="0" borderId="0" xfId="0" applyBorder="1"/>
    <xf numFmtId="2" fontId="0" fillId="0" borderId="1" xfId="0" applyNumberFormat="1" applyFill="1" applyBorder="1"/>
    <xf numFmtId="0" fontId="0" fillId="2" borderId="1" xfId="0" applyFill="1" applyBorder="1" applyAlignment="1">
      <alignment horizontal="center"/>
    </xf>
    <xf numFmtId="2" fontId="1" fillId="0" borderId="1" xfId="0" applyNumberFormat="1" applyFont="1" applyBorder="1"/>
    <xf numFmtId="2" fontId="1" fillId="0" borderId="0" xfId="0" applyNumberFormat="1" applyFont="1" applyBorder="1"/>
    <xf numFmtId="0" fontId="0" fillId="0" borderId="0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5"/>
  <sheetViews>
    <sheetView tabSelected="1" workbookViewId="0">
      <selection activeCell="C1" sqref="C1"/>
    </sheetView>
  </sheetViews>
  <sheetFormatPr defaultRowHeight="15"/>
  <cols>
    <col min="1" max="1" width="7.42578125" customWidth="1"/>
    <col min="2" max="2" width="21" customWidth="1"/>
    <col min="4" max="4" width="9.140625" style="1"/>
    <col min="8" max="8" width="9.140625" style="1"/>
    <col min="14" max="19" width="5.5703125" customWidth="1"/>
  </cols>
  <sheetData>
    <row r="1" spans="1:19" s="1" customFormat="1" ht="18.75">
      <c r="A1" s="13" t="s">
        <v>21</v>
      </c>
    </row>
    <row r="2" spans="1:19" s="1" customFormat="1" ht="18.75">
      <c r="A2" s="13"/>
      <c r="M2" s="1" t="s">
        <v>23</v>
      </c>
    </row>
    <row r="3" spans="1:19" s="1" customFormat="1" ht="15.75" thickBot="1">
      <c r="B3" s="14" t="s">
        <v>20</v>
      </c>
      <c r="C3" s="14"/>
      <c r="D3" s="14"/>
      <c r="E3" s="14"/>
      <c r="F3" s="14"/>
      <c r="G3" s="14"/>
      <c r="H3" s="14"/>
      <c r="I3" s="14"/>
      <c r="J3" s="14"/>
      <c r="K3" s="14"/>
    </row>
    <row r="4" spans="1:19" s="1" customFormat="1">
      <c r="B4" s="11" t="s">
        <v>2</v>
      </c>
      <c r="C4" s="12" t="s">
        <v>3</v>
      </c>
      <c r="D4" s="12" t="s">
        <v>10</v>
      </c>
      <c r="E4" s="12" t="s">
        <v>11</v>
      </c>
      <c r="F4" s="12" t="s">
        <v>0</v>
      </c>
      <c r="G4" s="12" t="s">
        <v>1</v>
      </c>
      <c r="H4" s="12" t="s">
        <v>12</v>
      </c>
      <c r="I4" s="12" t="s">
        <v>13</v>
      </c>
      <c r="J4" s="12" t="s">
        <v>14</v>
      </c>
      <c r="K4" s="12" t="s">
        <v>15</v>
      </c>
      <c r="N4" s="1" t="s">
        <v>22</v>
      </c>
      <c r="O4" s="15"/>
      <c r="P4" s="18"/>
      <c r="Q4" s="23"/>
    </row>
    <row r="5" spans="1:19" s="1" customFormat="1">
      <c r="B5" s="2" t="s">
        <v>4</v>
      </c>
      <c r="C5" s="2">
        <v>20</v>
      </c>
      <c r="D5" s="2">
        <v>0.1</v>
      </c>
      <c r="E5" s="3">
        <v>0.8</v>
      </c>
      <c r="F5" s="2">
        <v>1</v>
      </c>
      <c r="G5" s="2">
        <v>1</v>
      </c>
      <c r="H5" s="2">
        <v>1</v>
      </c>
      <c r="I5" s="3">
        <f>C5*D5*F5*G5*H5</f>
        <v>2</v>
      </c>
      <c r="J5" s="3">
        <f>I5*TAN(ACOS(E5))</f>
        <v>1.4999999999999996</v>
      </c>
      <c r="K5" s="3">
        <f>SQRT(I5^2+J5^2)</f>
        <v>2.4999999999999996</v>
      </c>
      <c r="O5" s="19"/>
      <c r="P5" s="25"/>
      <c r="Q5" s="20"/>
    </row>
    <row r="6" spans="1:19" s="1" customFormat="1" ht="15.75" thickBot="1">
      <c r="B6" s="2" t="s">
        <v>17</v>
      </c>
      <c r="C6" s="2">
        <v>3</v>
      </c>
      <c r="D6" s="2">
        <f>230*16/1000</f>
        <v>3.68</v>
      </c>
      <c r="E6" s="3">
        <v>1</v>
      </c>
      <c r="F6" s="2">
        <v>1</v>
      </c>
      <c r="G6" s="2">
        <v>0.3</v>
      </c>
      <c r="H6" s="2">
        <v>1</v>
      </c>
      <c r="I6" s="3">
        <f>C6*D6*F6*G6*H6</f>
        <v>3.3120000000000003</v>
      </c>
      <c r="J6" s="3">
        <f t="shared" ref="J6:J9" si="0">I6*TAN(ACOS(E6))</f>
        <v>0</v>
      </c>
      <c r="K6" s="3">
        <f t="shared" ref="K6:K10" si="1">SQRT(I6^2+J6^2)</f>
        <v>3.3120000000000003</v>
      </c>
      <c r="L6" s="5"/>
      <c r="O6" s="24"/>
      <c r="P6" s="21"/>
      <c r="Q6" s="17"/>
    </row>
    <row r="7" spans="1:19" ht="15.75" thickBot="1">
      <c r="B7" s="2" t="s">
        <v>18</v>
      </c>
      <c r="C7" s="2">
        <v>1</v>
      </c>
      <c r="D7" s="2">
        <f>3*230*16/1000</f>
        <v>11.04</v>
      </c>
      <c r="E7" s="3">
        <v>0.85</v>
      </c>
      <c r="F7" s="2">
        <v>1</v>
      </c>
      <c r="G7" s="2">
        <v>0.3</v>
      </c>
      <c r="H7" s="2">
        <v>1</v>
      </c>
      <c r="I7" s="3">
        <f>C7*D7*F7*G7*H7</f>
        <v>3.3119999999999998</v>
      </c>
      <c r="J7" s="3">
        <f t="shared" ref="J7" si="2">I7*TAN(ACOS(E7))</f>
        <v>2.0525932487910747</v>
      </c>
      <c r="K7" s="3">
        <f t="shared" ref="K7" si="3">SQRT(I7^2+J7^2)</f>
        <v>3.8964705882352941</v>
      </c>
      <c r="O7" s="26"/>
      <c r="Q7" s="27"/>
    </row>
    <row r="8" spans="1:19">
      <c r="B8" s="2" t="s">
        <v>7</v>
      </c>
      <c r="C8" s="2">
        <v>1</v>
      </c>
      <c r="D8" s="2">
        <v>10</v>
      </c>
      <c r="E8" s="3">
        <v>0.85</v>
      </c>
      <c r="F8" s="2">
        <v>0.6</v>
      </c>
      <c r="G8" s="2">
        <v>1</v>
      </c>
      <c r="H8" s="2">
        <v>1</v>
      </c>
      <c r="I8" s="3">
        <f>C8*D8*F8*G8*H8</f>
        <v>6</v>
      </c>
      <c r="J8" s="3">
        <f t="shared" si="0"/>
        <v>3.7184660304186137</v>
      </c>
      <c r="K8" s="3">
        <f t="shared" si="1"/>
        <v>7.0588235294117645</v>
      </c>
      <c r="N8" s="20"/>
      <c r="Q8" s="16"/>
      <c r="R8" s="5"/>
    </row>
    <row r="9" spans="1:19">
      <c r="B9" s="2" t="s">
        <v>8</v>
      </c>
      <c r="C9" s="2">
        <v>1</v>
      </c>
      <c r="D9" s="2">
        <v>12</v>
      </c>
      <c r="E9" s="6">
        <v>0.82</v>
      </c>
      <c r="F9" s="4">
        <v>0.5</v>
      </c>
      <c r="G9" s="4">
        <v>1</v>
      </c>
      <c r="H9" s="4">
        <v>2</v>
      </c>
      <c r="I9" s="3">
        <f>C9*D9*F9*G9*H9</f>
        <v>12</v>
      </c>
      <c r="J9" s="3">
        <f t="shared" si="0"/>
        <v>8.3760515246365976</v>
      </c>
      <c r="K9" s="3">
        <f t="shared" si="1"/>
        <v>14.634146341463415</v>
      </c>
      <c r="N9" s="20"/>
      <c r="Q9" s="20"/>
      <c r="R9" s="5"/>
    </row>
    <row r="10" spans="1:19" ht="15.75" thickBot="1">
      <c r="B10" s="14" t="s">
        <v>19</v>
      </c>
      <c r="C10" s="14"/>
      <c r="D10" s="14"/>
      <c r="E10" s="14"/>
      <c r="F10" s="14"/>
      <c r="G10" s="14"/>
      <c r="H10" s="7"/>
      <c r="I10" s="8">
        <f>SUM(I5:I9)</f>
        <v>26.624000000000002</v>
      </c>
      <c r="J10" s="8">
        <f>SUM(J5:J9)</f>
        <v>15.647110803846285</v>
      </c>
      <c r="K10" s="8">
        <f t="shared" si="1"/>
        <v>30.88153902427538</v>
      </c>
      <c r="M10" s="22" t="s">
        <v>5</v>
      </c>
      <c r="N10" s="17"/>
      <c r="Q10" s="17"/>
      <c r="R10" s="21"/>
      <c r="S10" s="1" t="s">
        <v>16</v>
      </c>
    </row>
    <row r="11" spans="1:19">
      <c r="N11" s="15"/>
      <c r="O11" s="23"/>
      <c r="Q11" s="15"/>
      <c r="R11" s="23"/>
    </row>
    <row r="12" spans="1:19" ht="15.75" thickBot="1">
      <c r="B12" s="14" t="s">
        <v>5</v>
      </c>
      <c r="C12" s="14"/>
      <c r="D12" s="14"/>
      <c r="E12" s="14"/>
      <c r="F12" s="14"/>
      <c r="G12" s="14"/>
      <c r="H12" s="14"/>
      <c r="I12" s="14"/>
      <c r="J12" s="14"/>
      <c r="K12" s="14"/>
      <c r="N12" s="24"/>
      <c r="O12" s="17"/>
      <c r="Q12" s="24"/>
      <c r="R12" s="17"/>
    </row>
    <row r="13" spans="1:19">
      <c r="B13" s="11" t="s">
        <v>2</v>
      </c>
      <c r="C13" s="12" t="s">
        <v>3</v>
      </c>
      <c r="D13" s="12" t="s">
        <v>10</v>
      </c>
      <c r="E13" s="12" t="s">
        <v>11</v>
      </c>
      <c r="F13" s="12" t="s">
        <v>0</v>
      </c>
      <c r="G13" s="12" t="s">
        <v>1</v>
      </c>
      <c r="H13" s="12" t="s">
        <v>12</v>
      </c>
      <c r="I13" s="12" t="s">
        <v>13</v>
      </c>
      <c r="J13" s="12" t="s">
        <v>14</v>
      </c>
      <c r="K13" s="12" t="s">
        <v>15</v>
      </c>
      <c r="N13" s="16"/>
    </row>
    <row r="14" spans="1:19" ht="15.75" thickBot="1">
      <c r="B14" s="2" t="s">
        <v>4</v>
      </c>
      <c r="C14" s="2">
        <v>50</v>
      </c>
      <c r="D14" s="2">
        <v>0.1</v>
      </c>
      <c r="E14" s="3">
        <v>0.8</v>
      </c>
      <c r="F14" s="2">
        <v>1</v>
      </c>
      <c r="G14" s="2">
        <v>1</v>
      </c>
      <c r="H14" s="2">
        <v>1</v>
      </c>
      <c r="I14" s="3">
        <f t="shared" ref="I14:I20" si="4">C14*D14*F14*G14*H14</f>
        <v>5</v>
      </c>
      <c r="J14" s="3">
        <f>I14*TAN(ACOS(E14))</f>
        <v>3.7499999999999991</v>
      </c>
      <c r="K14" s="3">
        <f>SQRT(I14^2+J14^2)</f>
        <v>6.2499999999999991</v>
      </c>
      <c r="M14" s="22" t="s">
        <v>20</v>
      </c>
      <c r="N14" s="17"/>
    </row>
    <row r="15" spans="1:19">
      <c r="B15" s="2" t="s">
        <v>17</v>
      </c>
      <c r="C15" s="2">
        <v>3</v>
      </c>
      <c r="D15" s="2">
        <f>230*16/1000</f>
        <v>3.68</v>
      </c>
      <c r="E15" s="3">
        <v>1</v>
      </c>
      <c r="F15" s="2">
        <v>1</v>
      </c>
      <c r="G15" s="2">
        <v>0.3</v>
      </c>
      <c r="H15" s="2">
        <v>1</v>
      </c>
      <c r="I15" s="3">
        <f t="shared" si="4"/>
        <v>3.3120000000000003</v>
      </c>
      <c r="J15" s="3">
        <f t="shared" ref="J15:J20" si="5">I15*TAN(ACOS(E15))</f>
        <v>0</v>
      </c>
      <c r="K15" s="3">
        <f t="shared" ref="K15:K21" si="6">SQRT(I15^2+J15^2)</f>
        <v>3.3120000000000003</v>
      </c>
      <c r="N15" s="15"/>
      <c r="O15" s="23"/>
    </row>
    <row r="16" spans="1:19" ht="15.75" thickBot="1">
      <c r="B16" s="2" t="s">
        <v>18</v>
      </c>
      <c r="C16" s="2">
        <v>1</v>
      </c>
      <c r="D16" s="2">
        <f>3*230*16/1000</f>
        <v>11.04</v>
      </c>
      <c r="E16" s="3">
        <v>0.85</v>
      </c>
      <c r="F16" s="2">
        <v>1</v>
      </c>
      <c r="G16" s="2">
        <v>0.3</v>
      </c>
      <c r="H16" s="2">
        <v>1</v>
      </c>
      <c r="I16" s="3">
        <f t="shared" si="4"/>
        <v>3.3119999999999998</v>
      </c>
      <c r="J16" s="3">
        <f t="shared" si="5"/>
        <v>2.0525932487910747</v>
      </c>
      <c r="K16" s="3">
        <f t="shared" si="6"/>
        <v>3.8964705882352941</v>
      </c>
      <c r="N16" s="24"/>
      <c r="O16" s="17"/>
    </row>
    <row r="17" spans="2:11" s="1" customFormat="1">
      <c r="B17" s="2" t="s">
        <v>7</v>
      </c>
      <c r="C17" s="2">
        <v>4</v>
      </c>
      <c r="D17" s="2">
        <v>10</v>
      </c>
      <c r="E17" s="3">
        <v>0.85</v>
      </c>
      <c r="F17" s="2">
        <v>0.6</v>
      </c>
      <c r="G17" s="2">
        <v>1</v>
      </c>
      <c r="H17" s="2">
        <v>1</v>
      </c>
      <c r="I17" s="3">
        <f t="shared" si="4"/>
        <v>24</v>
      </c>
      <c r="J17" s="3">
        <f t="shared" si="5"/>
        <v>14.873864121674455</v>
      </c>
      <c r="K17" s="3">
        <f t="shared" si="6"/>
        <v>28.235294117647058</v>
      </c>
    </row>
    <row r="18" spans="2:11">
      <c r="B18" s="2" t="s">
        <v>8</v>
      </c>
      <c r="C18" s="2">
        <v>1</v>
      </c>
      <c r="D18" s="2">
        <v>12</v>
      </c>
      <c r="E18" s="6">
        <v>0.82</v>
      </c>
      <c r="F18" s="4">
        <v>0.5</v>
      </c>
      <c r="G18" s="4">
        <v>1</v>
      </c>
      <c r="H18" s="4">
        <v>2</v>
      </c>
      <c r="I18" s="3">
        <f t="shared" si="4"/>
        <v>12</v>
      </c>
      <c r="J18" s="3">
        <f t="shared" si="5"/>
        <v>8.3760515246365976</v>
      </c>
      <c r="K18" s="3">
        <f t="shared" si="6"/>
        <v>14.634146341463415</v>
      </c>
    </row>
    <row r="19" spans="2:11" s="1" customFormat="1">
      <c r="B19" s="2" t="s">
        <v>9</v>
      </c>
      <c r="C19" s="2">
        <v>1</v>
      </c>
      <c r="D19" s="2">
        <v>20</v>
      </c>
      <c r="E19" s="6">
        <v>0.84</v>
      </c>
      <c r="F19" s="4">
        <v>0.7</v>
      </c>
      <c r="G19" s="4">
        <v>1</v>
      </c>
      <c r="H19" s="4">
        <v>1</v>
      </c>
      <c r="I19" s="3">
        <f t="shared" si="4"/>
        <v>14</v>
      </c>
      <c r="J19" s="3">
        <f t="shared" ref="J19" si="7">I19*TAN(ACOS(E19))</f>
        <v>9.0431066441670218</v>
      </c>
      <c r="K19" s="3">
        <f t="shared" ref="K19" si="8">SQRT(I19^2+J19^2)</f>
        <v>16.666666666666664</v>
      </c>
    </row>
    <row r="20" spans="2:11">
      <c r="B20" s="2" t="s">
        <v>20</v>
      </c>
      <c r="C20" s="2">
        <v>1</v>
      </c>
      <c r="D20" s="3">
        <f>I10</f>
        <v>26.624000000000002</v>
      </c>
      <c r="E20" s="6">
        <f>I10/K10</f>
        <v>0.86213319805957178</v>
      </c>
      <c r="F20" s="4">
        <v>1</v>
      </c>
      <c r="G20" s="4">
        <v>1</v>
      </c>
      <c r="H20" s="4">
        <v>1</v>
      </c>
      <c r="I20" s="3">
        <f t="shared" si="4"/>
        <v>26.624000000000002</v>
      </c>
      <c r="J20" s="3">
        <f t="shared" si="5"/>
        <v>15.647110803846282</v>
      </c>
      <c r="K20" s="3">
        <f t="shared" si="6"/>
        <v>30.88153902427538</v>
      </c>
    </row>
    <row r="21" spans="2:11">
      <c r="B21" s="14" t="s">
        <v>19</v>
      </c>
      <c r="C21" s="14"/>
      <c r="D21" s="14"/>
      <c r="E21" s="14"/>
      <c r="F21" s="14"/>
      <c r="G21" s="14"/>
      <c r="H21" s="7"/>
      <c r="I21" s="8">
        <f>SUM(I14:I20)</f>
        <v>88.248000000000005</v>
      </c>
      <c r="J21" s="8">
        <f>SUM(J14:J20)</f>
        <v>53.742726343115429</v>
      </c>
      <c r="K21" s="8">
        <f t="shared" si="6"/>
        <v>103.3246831052048</v>
      </c>
    </row>
    <row r="23" spans="2:11" s="1" customFormat="1">
      <c r="B23" s="14" t="s">
        <v>16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2:11" s="1" customFormat="1">
      <c r="B24" s="11" t="s">
        <v>2</v>
      </c>
      <c r="C24" s="12" t="s">
        <v>3</v>
      </c>
      <c r="D24" s="12" t="s">
        <v>10</v>
      </c>
      <c r="E24" s="12" t="s">
        <v>11</v>
      </c>
      <c r="F24" s="12" t="s">
        <v>0</v>
      </c>
      <c r="G24" s="12" t="s">
        <v>1</v>
      </c>
      <c r="H24" s="12" t="s">
        <v>12</v>
      </c>
      <c r="I24" s="12" t="s">
        <v>13</v>
      </c>
      <c r="J24" s="12" t="s">
        <v>14</v>
      </c>
      <c r="K24" s="12" t="s">
        <v>15</v>
      </c>
    </row>
    <row r="25" spans="2:11" s="1" customFormat="1">
      <c r="B25" s="2" t="s">
        <v>4</v>
      </c>
      <c r="C25" s="2">
        <v>100</v>
      </c>
      <c r="D25" s="2">
        <v>0.25</v>
      </c>
      <c r="E25" s="3">
        <v>0.8</v>
      </c>
      <c r="F25" s="2">
        <v>1</v>
      </c>
      <c r="G25" s="2">
        <v>1</v>
      </c>
      <c r="H25" s="2">
        <v>1</v>
      </c>
      <c r="I25" s="3">
        <f t="shared" ref="I25:I30" si="9">C25*D25*F25*G25*H25</f>
        <v>25</v>
      </c>
      <c r="J25" s="3">
        <f>I25*TAN(ACOS(E25))</f>
        <v>18.749999999999993</v>
      </c>
      <c r="K25" s="3">
        <f>SQRT(I25^2+J25^2)</f>
        <v>31.249999999999996</v>
      </c>
    </row>
    <row r="26" spans="2:11" s="1" customFormat="1">
      <c r="B26" s="2" t="s">
        <v>17</v>
      </c>
      <c r="C26" s="2">
        <v>6</v>
      </c>
      <c r="D26" s="2">
        <f>230*16/1000</f>
        <v>3.68</v>
      </c>
      <c r="E26" s="3">
        <v>1</v>
      </c>
      <c r="F26" s="2">
        <v>1</v>
      </c>
      <c r="G26" s="2">
        <v>0.3</v>
      </c>
      <c r="H26" s="2">
        <v>1</v>
      </c>
      <c r="I26" s="3">
        <f t="shared" si="9"/>
        <v>6.6240000000000006</v>
      </c>
      <c r="J26" s="3">
        <f t="shared" ref="J26:J30" si="10">I26*TAN(ACOS(E26))</f>
        <v>0</v>
      </c>
      <c r="K26" s="3">
        <f t="shared" ref="K26:K31" si="11">SQRT(I26^2+J26^2)</f>
        <v>6.6240000000000006</v>
      </c>
    </row>
    <row r="27" spans="2:11" s="1" customFormat="1">
      <c r="B27" s="2" t="s">
        <v>18</v>
      </c>
      <c r="C27" s="2">
        <v>2</v>
      </c>
      <c r="D27" s="2">
        <f>3*230*16/1000</f>
        <v>11.04</v>
      </c>
      <c r="E27" s="3">
        <v>0.85</v>
      </c>
      <c r="F27" s="2">
        <v>1</v>
      </c>
      <c r="G27" s="2">
        <v>0.3</v>
      </c>
      <c r="H27" s="2">
        <v>1</v>
      </c>
      <c r="I27" s="3">
        <f t="shared" si="9"/>
        <v>6.6239999999999997</v>
      </c>
      <c r="J27" s="3">
        <f t="shared" si="10"/>
        <v>4.1051864975821495</v>
      </c>
      <c r="K27" s="3">
        <f t="shared" si="11"/>
        <v>7.7929411764705883</v>
      </c>
    </row>
    <row r="28" spans="2:11" s="1" customFormat="1">
      <c r="B28" s="2" t="s">
        <v>7</v>
      </c>
      <c r="C28" s="2">
        <v>5</v>
      </c>
      <c r="D28" s="2">
        <v>10</v>
      </c>
      <c r="E28" s="3">
        <v>0.85</v>
      </c>
      <c r="F28" s="2">
        <v>0.6</v>
      </c>
      <c r="G28" s="2">
        <v>1</v>
      </c>
      <c r="H28" s="2">
        <v>1</v>
      </c>
      <c r="I28" s="3">
        <f t="shared" si="9"/>
        <v>30</v>
      </c>
      <c r="J28" s="3">
        <f t="shared" si="10"/>
        <v>18.592330152093069</v>
      </c>
      <c r="K28" s="3">
        <f t="shared" si="11"/>
        <v>35.294117647058826</v>
      </c>
    </row>
    <row r="29" spans="2:11" s="1" customFormat="1">
      <c r="B29" s="2" t="s">
        <v>8</v>
      </c>
      <c r="C29" s="2">
        <v>4</v>
      </c>
      <c r="D29" s="2">
        <v>12</v>
      </c>
      <c r="E29" s="6">
        <v>0.82</v>
      </c>
      <c r="F29" s="4">
        <v>0.5</v>
      </c>
      <c r="G29" s="4">
        <v>1</v>
      </c>
      <c r="H29" s="4">
        <v>2</v>
      </c>
      <c r="I29" s="3">
        <f t="shared" si="9"/>
        <v>48</v>
      </c>
      <c r="J29" s="3">
        <f t="shared" si="10"/>
        <v>33.504206098546391</v>
      </c>
      <c r="K29" s="3">
        <f t="shared" si="11"/>
        <v>58.536585365853661</v>
      </c>
    </row>
    <row r="30" spans="2:11" s="1" customFormat="1">
      <c r="B30" s="2" t="s">
        <v>9</v>
      </c>
      <c r="C30" s="2">
        <v>4</v>
      </c>
      <c r="D30" s="2">
        <v>20</v>
      </c>
      <c r="E30" s="6">
        <v>0.84</v>
      </c>
      <c r="F30" s="4">
        <v>0.7</v>
      </c>
      <c r="G30" s="4">
        <v>1</v>
      </c>
      <c r="H30" s="4">
        <v>1</v>
      </c>
      <c r="I30" s="3">
        <f t="shared" si="9"/>
        <v>56</v>
      </c>
      <c r="J30" s="3">
        <f t="shared" si="10"/>
        <v>36.172426576668087</v>
      </c>
      <c r="K30" s="3">
        <f t="shared" si="11"/>
        <v>66.666666666666657</v>
      </c>
    </row>
    <row r="31" spans="2:11" s="1" customFormat="1">
      <c r="B31" s="14" t="s">
        <v>19</v>
      </c>
      <c r="C31" s="14"/>
      <c r="D31" s="14"/>
      <c r="E31" s="14"/>
      <c r="F31" s="14"/>
      <c r="G31" s="14"/>
      <c r="H31" s="7"/>
      <c r="I31" s="8">
        <f>SUM(I25:I30)</f>
        <v>172.24799999999999</v>
      </c>
      <c r="J31" s="8">
        <f>SUM(J25:J30)</f>
        <v>111.12414932488969</v>
      </c>
      <c r="K31" s="8">
        <f t="shared" si="11"/>
        <v>204.98280432070484</v>
      </c>
    </row>
    <row r="32" spans="2:11" s="1" customFormat="1">
      <c r="B32" s="10"/>
      <c r="C32" s="10"/>
      <c r="D32" s="10"/>
      <c r="E32" s="10"/>
      <c r="F32" s="10"/>
      <c r="G32" s="10"/>
      <c r="H32" s="10"/>
      <c r="I32" s="9"/>
      <c r="J32" s="9"/>
      <c r="K32" s="9"/>
    </row>
    <row r="33" spans="2:11" s="1" customFormat="1">
      <c r="B33" s="10"/>
      <c r="C33" s="10"/>
      <c r="D33" s="10"/>
      <c r="E33" s="10"/>
      <c r="F33" s="10"/>
      <c r="G33" s="10"/>
      <c r="H33" s="10"/>
      <c r="I33" s="9"/>
      <c r="J33" s="9"/>
      <c r="K33" s="9"/>
    </row>
    <row r="34" spans="2:11" s="1" customFormat="1">
      <c r="B34" s="14" t="s">
        <v>22</v>
      </c>
      <c r="C34" s="14"/>
      <c r="D34" s="14"/>
      <c r="E34" s="14"/>
      <c r="F34" s="14"/>
      <c r="G34" s="14"/>
      <c r="H34" s="14"/>
      <c r="I34" s="14"/>
      <c r="J34" s="14"/>
      <c r="K34" s="14"/>
    </row>
    <row r="35" spans="2:11" s="1" customFormat="1">
      <c r="B35" s="11" t="s">
        <v>2</v>
      </c>
      <c r="C35" s="12" t="s">
        <v>3</v>
      </c>
      <c r="D35" s="12" t="s">
        <v>10</v>
      </c>
      <c r="E35" s="12" t="s">
        <v>11</v>
      </c>
      <c r="F35" s="12" t="s">
        <v>0</v>
      </c>
      <c r="G35" s="12" t="s">
        <v>1</v>
      </c>
      <c r="H35" s="12" t="s">
        <v>12</v>
      </c>
      <c r="I35" s="12" t="s">
        <v>13</v>
      </c>
      <c r="J35" s="12" t="s">
        <v>14</v>
      </c>
      <c r="K35" s="12" t="s">
        <v>15</v>
      </c>
    </row>
    <row r="36" spans="2:11" s="1" customFormat="1">
      <c r="B36" s="2" t="s">
        <v>4</v>
      </c>
      <c r="C36" s="2">
        <v>100</v>
      </c>
      <c r="D36" s="2">
        <v>0.25</v>
      </c>
      <c r="E36" s="3">
        <v>0.8</v>
      </c>
      <c r="F36" s="2">
        <v>1</v>
      </c>
      <c r="G36" s="2">
        <v>1</v>
      </c>
      <c r="H36" s="2">
        <v>1</v>
      </c>
      <c r="I36" s="3">
        <f t="shared" ref="I36:I41" si="12">C36*D36*F36*G36*H36</f>
        <v>25</v>
      </c>
      <c r="J36" s="3">
        <f>I36*TAN(ACOS(E36))</f>
        <v>18.749999999999993</v>
      </c>
      <c r="K36" s="3">
        <f>SQRT(I36^2+J36^2)</f>
        <v>31.249999999999996</v>
      </c>
    </row>
    <row r="37" spans="2:11" s="1" customFormat="1">
      <c r="B37" s="2" t="s">
        <v>17</v>
      </c>
      <c r="C37" s="2">
        <v>6</v>
      </c>
      <c r="D37" s="2">
        <f>230*16/1000</f>
        <v>3.68</v>
      </c>
      <c r="E37" s="3">
        <v>1</v>
      </c>
      <c r="F37" s="2">
        <v>1</v>
      </c>
      <c r="G37" s="2">
        <v>0.3</v>
      </c>
      <c r="H37" s="2">
        <v>1</v>
      </c>
      <c r="I37" s="3">
        <f t="shared" si="12"/>
        <v>6.6240000000000006</v>
      </c>
      <c r="J37" s="3">
        <f t="shared" ref="J37:J41" si="13">I37*TAN(ACOS(E37))</f>
        <v>0</v>
      </c>
      <c r="K37" s="3">
        <f t="shared" ref="K37:K41" si="14">SQRT(I37^2+J37^2)</f>
        <v>6.6240000000000006</v>
      </c>
    </row>
    <row r="38" spans="2:11">
      <c r="B38" s="2" t="s">
        <v>18</v>
      </c>
      <c r="C38" s="2">
        <v>2</v>
      </c>
      <c r="D38" s="2">
        <f>3*230*16/1000</f>
        <v>11.04</v>
      </c>
      <c r="E38" s="3">
        <v>0.85</v>
      </c>
      <c r="F38" s="2">
        <v>1</v>
      </c>
      <c r="G38" s="2">
        <v>0.3</v>
      </c>
      <c r="H38" s="2">
        <v>1</v>
      </c>
      <c r="I38" s="3">
        <f t="shared" si="12"/>
        <v>6.6239999999999997</v>
      </c>
      <c r="J38" s="3">
        <f t="shared" si="13"/>
        <v>4.1051864975821495</v>
      </c>
      <c r="K38" s="3">
        <f t="shared" si="14"/>
        <v>7.7929411764705883</v>
      </c>
    </row>
    <row r="39" spans="2:11">
      <c r="B39" s="2" t="s">
        <v>7</v>
      </c>
      <c r="C39" s="2">
        <v>5</v>
      </c>
      <c r="D39" s="2">
        <v>10</v>
      </c>
      <c r="E39" s="3">
        <v>0.85</v>
      </c>
      <c r="F39" s="2">
        <v>0.6</v>
      </c>
      <c r="G39" s="2">
        <v>1</v>
      </c>
      <c r="H39" s="2">
        <v>1</v>
      </c>
      <c r="I39" s="3">
        <f t="shared" si="12"/>
        <v>30</v>
      </c>
      <c r="J39" s="3">
        <f t="shared" si="13"/>
        <v>18.592330152093069</v>
      </c>
      <c r="K39" s="3">
        <f t="shared" si="14"/>
        <v>35.294117647058826</v>
      </c>
    </row>
    <row r="40" spans="2:11">
      <c r="B40" s="2" t="s">
        <v>8</v>
      </c>
      <c r="C40" s="2">
        <v>4</v>
      </c>
      <c r="D40" s="2">
        <v>12</v>
      </c>
      <c r="E40" s="6">
        <v>0.82</v>
      </c>
      <c r="F40" s="4">
        <v>0.5</v>
      </c>
      <c r="G40" s="4">
        <v>1</v>
      </c>
      <c r="H40" s="4">
        <v>2</v>
      </c>
      <c r="I40" s="3">
        <f t="shared" si="12"/>
        <v>48</v>
      </c>
      <c r="J40" s="3">
        <f t="shared" si="13"/>
        <v>33.504206098546391</v>
      </c>
      <c r="K40" s="3">
        <f t="shared" si="14"/>
        <v>58.536585365853661</v>
      </c>
    </row>
    <row r="41" spans="2:11">
      <c r="B41" s="2" t="s">
        <v>9</v>
      </c>
      <c r="C41" s="2">
        <v>4</v>
      </c>
      <c r="D41" s="2">
        <v>20</v>
      </c>
      <c r="E41" s="6">
        <v>0.84</v>
      </c>
      <c r="F41" s="4">
        <v>0.7</v>
      </c>
      <c r="G41" s="4">
        <v>1</v>
      </c>
      <c r="H41" s="4">
        <v>1</v>
      </c>
      <c r="I41" s="3">
        <f t="shared" si="12"/>
        <v>56</v>
      </c>
      <c r="J41" s="3">
        <f t="shared" si="13"/>
        <v>36.172426576668087</v>
      </c>
      <c r="K41" s="3">
        <f t="shared" si="14"/>
        <v>66.666666666666657</v>
      </c>
    </row>
    <row r="42" spans="2:11">
      <c r="B42" s="2" t="s">
        <v>5</v>
      </c>
      <c r="C42" s="2">
        <v>1</v>
      </c>
      <c r="D42" s="3">
        <f>I21</f>
        <v>88.248000000000005</v>
      </c>
      <c r="E42" s="6">
        <f>I21/K21</f>
        <v>0.85408440024099785</v>
      </c>
      <c r="F42" s="4">
        <v>1</v>
      </c>
      <c r="G42" s="4">
        <v>0.9</v>
      </c>
      <c r="H42" s="4">
        <v>1</v>
      </c>
      <c r="I42" s="3">
        <f t="shared" ref="I42:I43" si="15">C42*D42*F42*G42*H42</f>
        <v>79.423200000000008</v>
      </c>
      <c r="J42" s="3">
        <f t="shared" ref="J42:J43" si="16">I42*TAN(ACOS(E42))</f>
        <v>48.368453708803877</v>
      </c>
      <c r="K42" s="3">
        <f t="shared" ref="K42:K44" si="17">SQRT(I42^2+J42^2)</f>
        <v>92.992214794684315</v>
      </c>
    </row>
    <row r="43" spans="2:11">
      <c r="B43" s="2" t="s">
        <v>16</v>
      </c>
      <c r="C43" s="2">
        <v>1</v>
      </c>
      <c r="D43" s="3">
        <f>I31</f>
        <v>172.24799999999999</v>
      </c>
      <c r="E43" s="6">
        <f>I31/K31</f>
        <v>0.84030463223885954</v>
      </c>
      <c r="F43" s="4">
        <v>1</v>
      </c>
      <c r="G43" s="4">
        <v>0.9</v>
      </c>
      <c r="H43" s="4">
        <v>1</v>
      </c>
      <c r="I43" s="3">
        <f t="shared" si="15"/>
        <v>155.0232</v>
      </c>
      <c r="J43" s="3">
        <f t="shared" si="16"/>
        <v>100.01173439240068</v>
      </c>
      <c r="K43" s="3">
        <f t="shared" si="17"/>
        <v>184.48452388863436</v>
      </c>
    </row>
    <row r="44" spans="2:11">
      <c r="B44" s="14" t="s">
        <v>6</v>
      </c>
      <c r="C44" s="14"/>
      <c r="D44" s="14"/>
      <c r="E44" s="14"/>
      <c r="F44" s="14"/>
      <c r="G44" s="14"/>
      <c r="H44" s="7"/>
      <c r="I44" s="8">
        <f>SUM(I36:I43)</f>
        <v>406.69439999999997</v>
      </c>
      <c r="J44" s="8">
        <f>SUM(J36:J43)</f>
        <v>259.50433742609425</v>
      </c>
      <c r="K44" s="8">
        <f t="shared" si="17"/>
        <v>482.4342816740081</v>
      </c>
    </row>
    <row r="45" spans="2:11">
      <c r="B45" s="10"/>
      <c r="C45" s="10"/>
      <c r="D45" s="10"/>
      <c r="E45" s="10"/>
      <c r="F45" s="10"/>
      <c r="G45" s="10"/>
      <c r="H45" s="10"/>
      <c r="I45" s="9"/>
      <c r="J45" s="9"/>
      <c r="K45" s="9"/>
    </row>
  </sheetData>
  <mergeCells count="8">
    <mergeCell ref="B44:G44"/>
    <mergeCell ref="B3:K3"/>
    <mergeCell ref="B10:G10"/>
    <mergeCell ref="B12:K12"/>
    <mergeCell ref="B21:G21"/>
    <mergeCell ref="B23:K23"/>
    <mergeCell ref="B31:G31"/>
    <mergeCell ref="B34:K34"/>
  </mergeCells>
  <pageMargins left="0.56999999999999995" right="0.70866141732283472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bal_pot_exemplo</vt:lpstr>
      <vt:lpstr>Folha3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Silva</dc:creator>
  <cp:lastModifiedBy>André Sá</cp:lastModifiedBy>
  <cp:lastPrinted>2017-09-26T12:46:53Z</cp:lastPrinted>
  <dcterms:created xsi:type="dcterms:W3CDTF">2016-12-24T11:08:07Z</dcterms:created>
  <dcterms:modified xsi:type="dcterms:W3CDTF">2017-10-04T18:04:56Z</dcterms:modified>
</cp:coreProperties>
</file>