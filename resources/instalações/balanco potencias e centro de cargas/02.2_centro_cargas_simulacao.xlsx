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Folha1" sheetId="1" r:id="rId1"/>
    <sheet name="Folha2" sheetId="2" r:id="rId2"/>
    <sheet name="Folha3" sheetId="3" r:id="rId3"/>
  </sheets>
  <calcPr calcId="125725"/>
</workbook>
</file>

<file path=xl/calcChain.xml><?xml version="1.0" encoding="utf-8"?>
<calcChain xmlns="http://schemas.openxmlformats.org/spreadsheetml/2006/main">
  <c r="D10" i="1"/>
  <c r="D11" s="1"/>
  <c r="H6"/>
  <c r="G6"/>
  <c r="H10" l="1"/>
  <c r="G10"/>
</calcChain>
</file>

<file path=xl/sharedStrings.xml><?xml version="1.0" encoding="utf-8"?>
<sst xmlns="http://schemas.openxmlformats.org/spreadsheetml/2006/main" count="23" uniqueCount="15">
  <si>
    <t>A</t>
  </si>
  <si>
    <t>Carga</t>
  </si>
  <si>
    <t>B</t>
  </si>
  <si>
    <t>C</t>
  </si>
  <si>
    <t>I</t>
  </si>
  <si>
    <t>x</t>
  </si>
  <si>
    <t>y</t>
  </si>
  <si>
    <t>i</t>
  </si>
  <si>
    <t>m</t>
  </si>
  <si>
    <t>m.A^2</t>
  </si>
  <si>
    <t>j</t>
  </si>
  <si>
    <t>Imq</t>
  </si>
  <si>
    <t>Imq^2</t>
  </si>
  <si>
    <t>CENTRO DE CARGAS - SIMULAÇÃO</t>
  </si>
  <si>
    <t>A^2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</si>
</sst>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2" fillId="0" borderId="0" xfId="0" applyFont="1"/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PT"/>
  <c:chart>
    <c:plotArea>
      <c:layout>
        <c:manualLayout>
          <c:layoutTarget val="inner"/>
          <c:xMode val="edge"/>
          <c:yMode val="edge"/>
          <c:x val="4.8888888888888891E-2"/>
          <c:y val="5.1400554097404488E-2"/>
          <c:w val="0.91418064691824052"/>
          <c:h val="0.89719889180519119"/>
        </c:manualLayout>
      </c:layout>
      <c:scatterChart>
        <c:scatterStyle val="lineMarker"/>
        <c:ser>
          <c:idx val="0"/>
          <c:order val="0"/>
          <c:tx>
            <c:v>Cargas</c:v>
          </c:tx>
          <c:spPr>
            <a:ln w="28575">
              <a:noFill/>
            </a:ln>
          </c:spPr>
          <c:xVal>
            <c:numRef>
              <c:f>(Folha1!$D$6:$D$8,Folha1!$G$10)</c:f>
              <c:numCache>
                <c:formatCode>General</c:formatCode>
                <c:ptCount val="4"/>
                <c:pt idx="0">
                  <c:v>-7</c:v>
                </c:pt>
                <c:pt idx="1">
                  <c:v>-3</c:v>
                </c:pt>
                <c:pt idx="2">
                  <c:v>9</c:v>
                </c:pt>
                <c:pt idx="3" formatCode="0.00">
                  <c:v>7.4778761061946906</c:v>
                </c:pt>
              </c:numCache>
            </c:numRef>
          </c:xVal>
          <c:yVal>
            <c:numRef>
              <c:f>(Folha1!$E$6:$E$8,Folha1!$H$10)</c:f>
              <c:numCache>
                <c:formatCode>General</c:formatCode>
                <c:ptCount val="4"/>
                <c:pt idx="0">
                  <c:v>-2</c:v>
                </c:pt>
                <c:pt idx="1">
                  <c:v>3</c:v>
                </c:pt>
                <c:pt idx="2">
                  <c:v>0</c:v>
                </c:pt>
                <c:pt idx="3" formatCode="0.00">
                  <c:v>0.16814159292035399</c:v>
                </c:pt>
              </c:numCache>
            </c:numRef>
          </c:yVal>
        </c:ser>
        <c:ser>
          <c:idx val="1"/>
          <c:order val="1"/>
          <c:tx>
            <c:v>Centro de Cargas</c:v>
          </c:tx>
          <c:spPr>
            <a:ln w="28575">
              <a:noFill/>
            </a:ln>
          </c:spPr>
          <c:xVal>
            <c:numRef>
              <c:f>Folha1!$G$10</c:f>
              <c:numCache>
                <c:formatCode>0.00</c:formatCode>
                <c:ptCount val="1"/>
                <c:pt idx="0">
                  <c:v>7.4778761061946906</c:v>
                </c:pt>
              </c:numCache>
            </c:numRef>
          </c:xVal>
          <c:yVal>
            <c:numRef>
              <c:f>Folha1!$H$10</c:f>
              <c:numCache>
                <c:formatCode>0.00</c:formatCode>
                <c:ptCount val="1"/>
                <c:pt idx="0">
                  <c:v>0.16814159292035399</c:v>
                </c:pt>
              </c:numCache>
            </c:numRef>
          </c:yVal>
        </c:ser>
        <c:axId val="80533760"/>
        <c:axId val="80543744"/>
      </c:scatterChart>
      <c:valAx>
        <c:axId val="80533760"/>
        <c:scaling>
          <c:orientation val="minMax"/>
          <c:max val="10"/>
          <c:min val="-10"/>
        </c:scaling>
        <c:axPos val="b"/>
        <c:numFmt formatCode="General" sourceLinked="1"/>
        <c:tickLblPos val="nextTo"/>
        <c:crossAx val="80543744"/>
        <c:crosses val="autoZero"/>
        <c:crossBetween val="midCat"/>
        <c:majorUnit val="1"/>
        <c:minorUnit val="1"/>
      </c:valAx>
      <c:valAx>
        <c:axId val="80543744"/>
        <c:scaling>
          <c:orientation val="minMax"/>
          <c:max val="4"/>
          <c:min val="-4"/>
        </c:scaling>
        <c:axPos val="l"/>
        <c:numFmt formatCode="General" sourceLinked="1"/>
        <c:tickLblPos val="nextTo"/>
        <c:crossAx val="80533760"/>
        <c:crosses val="autoZero"/>
        <c:crossBetween val="midCat"/>
        <c:majorUnit val="1"/>
      </c:valAx>
      <c:spPr>
        <a:noFill/>
        <a:ln w="50800" cap="flat" cmpd="dbl">
          <a:solidFill>
            <a:srgbClr val="4F81BD"/>
          </a:solidFill>
          <a:miter lim="800000"/>
        </a:ln>
      </c:spPr>
    </c:plotArea>
    <c:legend>
      <c:legendPos val="r"/>
      <c:layout>
        <c:manualLayout>
          <c:xMode val="edge"/>
          <c:yMode val="edge"/>
          <c:x val="0.68672358937470013"/>
          <c:y val="0.11434698847386708"/>
          <c:w val="0.24306557426674116"/>
          <c:h val="0.21918693351798318"/>
        </c:manualLayout>
      </c:layout>
      <c:spPr>
        <a:noFill/>
        <a:ln w="12700">
          <a:solidFill>
            <a:srgbClr val="4F81BD"/>
          </a:solidFill>
          <a:prstDash val="sysDot"/>
        </a:ln>
        <a:effectLst>
          <a:outerShdw blurRad="50800" dist="38100" algn="l" rotWithShape="0">
            <a:prstClr val="black">
              <a:alpha val="40000"/>
            </a:prstClr>
          </a:outerShdw>
        </a:effectLst>
      </c:spPr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11</xdr:row>
      <xdr:rowOff>123825</xdr:rowOff>
    </xdr:from>
    <xdr:to>
      <xdr:col>10</xdr:col>
      <xdr:colOff>266700</xdr:colOff>
      <xdr:row>22</xdr:row>
      <xdr:rowOff>123824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selection activeCell="B2" sqref="B2"/>
    </sheetView>
  </sheetViews>
  <sheetFormatPr defaultRowHeight="15"/>
  <cols>
    <col min="1" max="1" width="3.85546875" customWidth="1"/>
  </cols>
  <sheetData>
    <row r="1" spans="1:8" ht="26.25">
      <c r="A1" s="2" t="s">
        <v>13</v>
      </c>
    </row>
    <row r="4" spans="1:8">
      <c r="B4" s="1" t="s">
        <v>1</v>
      </c>
      <c r="C4" s="1" t="s">
        <v>4</v>
      </c>
      <c r="D4" s="1" t="s">
        <v>5</v>
      </c>
      <c r="E4" s="1" t="s">
        <v>6</v>
      </c>
      <c r="G4" s="1" t="s">
        <v>7</v>
      </c>
      <c r="H4" s="1" t="s">
        <v>10</v>
      </c>
    </row>
    <row r="5" spans="1:8">
      <c r="B5" s="1"/>
      <c r="C5" s="1" t="s">
        <v>0</v>
      </c>
      <c r="D5" s="1" t="s">
        <v>8</v>
      </c>
      <c r="E5" s="1" t="s">
        <v>8</v>
      </c>
      <c r="G5" s="1" t="s">
        <v>9</v>
      </c>
      <c r="H5" s="1" t="s">
        <v>9</v>
      </c>
    </row>
    <row r="6" spans="1:8">
      <c r="B6" s="1" t="s">
        <v>0</v>
      </c>
      <c r="C6" s="5">
        <v>20</v>
      </c>
      <c r="D6" s="5">
        <v>-7</v>
      </c>
      <c r="E6" s="5">
        <v>-2</v>
      </c>
      <c r="G6" s="3">
        <f>D6*C6^2+D7*C7^2+D8*C8^2</f>
        <v>84500</v>
      </c>
      <c r="H6" s="3">
        <f>E6*C6^2+E7*C7^2+E8*C8^2</f>
        <v>1900</v>
      </c>
    </row>
    <row r="7" spans="1:8" ht="15.75" thickBot="1">
      <c r="B7" s="1" t="s">
        <v>2</v>
      </c>
      <c r="C7" s="5">
        <v>30</v>
      </c>
      <c r="D7" s="5">
        <v>-3</v>
      </c>
      <c r="E7" s="5">
        <v>3</v>
      </c>
    </row>
    <row r="8" spans="1:8">
      <c r="B8" s="1" t="s">
        <v>3</v>
      </c>
      <c r="C8" s="5">
        <v>100</v>
      </c>
      <c r="D8" s="5">
        <v>9</v>
      </c>
      <c r="E8" s="5">
        <v>0</v>
      </c>
      <c r="G8" s="6" t="s">
        <v>7</v>
      </c>
      <c r="H8" s="7" t="s">
        <v>10</v>
      </c>
    </row>
    <row r="9" spans="1:8">
      <c r="G9" s="8" t="s">
        <v>8</v>
      </c>
      <c r="H9" s="9" t="s">
        <v>8</v>
      </c>
    </row>
    <row r="10" spans="1:8" ht="15.75" thickBot="1">
      <c r="B10" s="1" t="s">
        <v>12</v>
      </c>
      <c r="C10" s="1" t="s">
        <v>14</v>
      </c>
      <c r="D10" s="3">
        <f>C6^2+C7^2+C8^2</f>
        <v>11300</v>
      </c>
      <c r="G10" s="10">
        <f>G6/D10</f>
        <v>7.4778761061946906</v>
      </c>
      <c r="H10" s="11">
        <f>H6/D10</f>
        <v>0.16814159292035399</v>
      </c>
    </row>
    <row r="11" spans="1:8">
      <c r="B11" s="1" t="s">
        <v>11</v>
      </c>
      <c r="C11" s="1" t="s">
        <v>0</v>
      </c>
      <c r="D11" s="4">
        <f>SQRT(D10)</f>
        <v>106.30145812734649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Company>ESTGA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Sá</dc:creator>
  <cp:lastModifiedBy>André Sá</cp:lastModifiedBy>
  <dcterms:created xsi:type="dcterms:W3CDTF">2014-10-06T13:18:28Z</dcterms:created>
  <dcterms:modified xsi:type="dcterms:W3CDTF">2014-10-06T15:02:16Z</dcterms:modified>
</cp:coreProperties>
</file>