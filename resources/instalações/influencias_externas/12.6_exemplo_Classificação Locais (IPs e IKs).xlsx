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50" windowWidth="14910" windowHeight="7935"/>
  </bookViews>
  <sheets>
    <sheet name="fatores_ie" sheetId="2" r:id="rId1"/>
    <sheet name="exemplo" sheetId="1" r:id="rId2"/>
  </sheets>
  <externalReferences>
    <externalReference r:id="rId3"/>
  </externalReferences>
  <definedNames>
    <definedName name="mono__tri?">'[1]05'!#REF!</definedName>
  </definedNames>
  <calcPr calcId="125725"/>
</workbook>
</file>

<file path=xl/calcChain.xml><?xml version="1.0" encoding="utf-8"?>
<calcChain xmlns="http://schemas.openxmlformats.org/spreadsheetml/2006/main">
  <c r="H29" i="2"/>
  <c r="H28"/>
  <c r="G29"/>
  <c r="G28"/>
  <c r="H27"/>
  <c r="G27"/>
  <c r="H26"/>
  <c r="G26"/>
  <c r="H25"/>
  <c r="G25"/>
  <c r="H24"/>
  <c r="G24"/>
  <c r="H23"/>
  <c r="G23"/>
  <c r="H22"/>
  <c r="G22"/>
  <c r="H21"/>
  <c r="G21"/>
  <c r="H20"/>
  <c r="G20"/>
  <c r="H19"/>
  <c r="G19"/>
  <c r="H18"/>
  <c r="G18"/>
  <c r="H17"/>
  <c r="G17"/>
  <c r="H16"/>
  <c r="G16"/>
  <c r="H15"/>
  <c r="G15"/>
  <c r="H14"/>
  <c r="G14"/>
  <c r="H13"/>
  <c r="G13"/>
  <c r="H12"/>
  <c r="G12"/>
  <c r="H11"/>
  <c r="G11"/>
  <c r="H10"/>
  <c r="G10"/>
  <c r="H9"/>
  <c r="G9"/>
  <c r="H8"/>
  <c r="G8"/>
  <c r="H7"/>
  <c r="G7"/>
  <c r="H6"/>
  <c r="G6"/>
</calcChain>
</file>

<file path=xl/sharedStrings.xml><?xml version="1.0" encoding="utf-8"?>
<sst xmlns="http://schemas.openxmlformats.org/spreadsheetml/2006/main" count="201" uniqueCount="117">
  <si>
    <t>Classificação dos Locais</t>
  </si>
  <si>
    <t>Divisão</t>
  </si>
  <si>
    <t>IP</t>
  </si>
  <si>
    <t>IK</t>
  </si>
  <si>
    <t>Classificação</t>
  </si>
  <si>
    <t>Aparcamento rampa</t>
  </si>
  <si>
    <t>Lugar de estacionamento</t>
  </si>
  <si>
    <t>Cisterna</t>
  </si>
  <si>
    <t>Arrumo</t>
  </si>
  <si>
    <t>Compartimento p/ depósito resíduos sólidos</t>
  </si>
  <si>
    <t>Patamar elevador</t>
  </si>
  <si>
    <t>Entrada edifício</t>
  </si>
  <si>
    <t>Sala condomínio</t>
  </si>
  <si>
    <t>Escada</t>
  </si>
  <si>
    <t>Comércio</t>
  </si>
  <si>
    <t>Wc</t>
  </si>
  <si>
    <t>Entrada habitação</t>
  </si>
  <si>
    <t xml:space="preserve">Cozinha </t>
  </si>
  <si>
    <t>Marquise</t>
  </si>
  <si>
    <t>Sala comum</t>
  </si>
  <si>
    <t>Hall quartos</t>
  </si>
  <si>
    <t>Quarto</t>
  </si>
  <si>
    <t xml:space="preserve">Área de vestir </t>
  </si>
  <si>
    <t>Suite</t>
  </si>
  <si>
    <t xml:space="preserve">Varanda </t>
  </si>
  <si>
    <t>Terraço</t>
  </si>
  <si>
    <t>Lugradouro</t>
  </si>
  <si>
    <t>16.1</t>
  </si>
  <si>
    <t>Banho (volume 1)</t>
  </si>
  <si>
    <t>Banho (volume 0)</t>
  </si>
  <si>
    <t>Banho (volume 2)</t>
  </si>
  <si>
    <t>Banho (volume 3)</t>
  </si>
  <si>
    <t>16.2</t>
  </si>
  <si>
    <t>16.3</t>
  </si>
  <si>
    <t>Corredor</t>
  </si>
  <si>
    <t>AA4 + AB4 + AD7 + AE3 + BB3 + BC3 + XX1</t>
  </si>
  <si>
    <t xml:space="preserve">IP47 </t>
  </si>
  <si>
    <t>IK02</t>
  </si>
  <si>
    <t>AA4 + AB4 + AD5 + AE3 + BB3 + BC3 + XX1</t>
  </si>
  <si>
    <t>IP45</t>
  </si>
  <si>
    <t>IP44</t>
  </si>
  <si>
    <t>IP40</t>
  </si>
  <si>
    <t>AA4 + AB4 + AD4 + AE3 + BB3 + BC3 + XX1</t>
  </si>
  <si>
    <t>AA4 + AB4 + AE3 + BB2 + BC3 + XX1</t>
  </si>
  <si>
    <t>AA4 + AB4 + BC2 + XX1</t>
  </si>
  <si>
    <t>IP20</t>
  </si>
  <si>
    <t>AA4 + AB4 + AD2+ BC2 + XX1</t>
  </si>
  <si>
    <t>IP21</t>
  </si>
  <si>
    <t>AA8 + AB8 + AD4 + AE3 + AR2 +AS2 + BC2 + XX1</t>
  </si>
  <si>
    <t>AA4 + AB4 + AE2 + BC2 + XX1</t>
  </si>
  <si>
    <t>IP51</t>
  </si>
  <si>
    <t>AA4 + AB4 + AD2 + AE4 + BC2 + XX1</t>
  </si>
  <si>
    <t>AA4 + AB4 + AE3 + BC2 + XX1</t>
  </si>
  <si>
    <t>IK07</t>
  </si>
  <si>
    <t>AA4 + AB4 + AD2 + AE4 + AG2 + BC2 + XX1</t>
  </si>
  <si>
    <t>1. -Fatores de Influências Externas</t>
  </si>
  <si>
    <t>Ordem</t>
  </si>
  <si>
    <t>1.ª Letra</t>
  </si>
  <si>
    <t>2.ª Letra</t>
  </si>
  <si>
    <t>Algarismo</t>
  </si>
  <si>
    <t>Estrutura do Código</t>
  </si>
  <si>
    <t>Situação Normal</t>
  </si>
  <si>
    <t>Designação da Influência</t>
  </si>
  <si>
    <t>Categoria Geral</t>
  </si>
  <si>
    <t>Natureza da Influência</t>
  </si>
  <si>
    <t>Classe da Influência</t>
  </si>
  <si>
    <t>A
(Ambientes)</t>
  </si>
  <si>
    <t>A</t>
  </si>
  <si>
    <t>1 a 8</t>
  </si>
  <si>
    <t>Temperatura ambiente</t>
  </si>
  <si>
    <t>B</t>
  </si>
  <si>
    <t>Condições climáticas</t>
  </si>
  <si>
    <t>C</t>
  </si>
  <si>
    <t>1 a 2</t>
  </si>
  <si>
    <t>Altitude</t>
  </si>
  <si>
    <t>D</t>
  </si>
  <si>
    <t>Presença de água</t>
  </si>
  <si>
    <t>E</t>
  </si>
  <si>
    <t>1 a 6</t>
  </si>
  <si>
    <t>Presença de corpos sólidos (estranhos)</t>
  </si>
  <si>
    <t>F</t>
  </si>
  <si>
    <t>1 a 4</t>
  </si>
  <si>
    <t>Presença de corpos e substâncias corrosivas ou poluentes</t>
  </si>
  <si>
    <t>G</t>
  </si>
  <si>
    <t>1 a 3</t>
  </si>
  <si>
    <t>Ações mecânicas (impactos)</t>
  </si>
  <si>
    <t>H</t>
  </si>
  <si>
    <t>Ações mecânicas (vibrações)</t>
  </si>
  <si>
    <t>J</t>
  </si>
  <si>
    <t>Ações mecânicas (outros)</t>
  </si>
  <si>
    <t>K</t>
  </si>
  <si>
    <t>Presença da flora e bolores</t>
  </si>
  <si>
    <t>L</t>
  </si>
  <si>
    <t>Presença de fauna</t>
  </si>
  <si>
    <t>M</t>
  </si>
  <si>
    <t>Influências electromagnéticas, electrostáticas ou ionizantes</t>
  </si>
  <si>
    <t>N</t>
  </si>
  <si>
    <t>Radiações solares</t>
  </si>
  <si>
    <t>P</t>
  </si>
  <si>
    <t>Efeitos sísmicos</t>
  </si>
  <si>
    <t>Q</t>
  </si>
  <si>
    <t>Descargas atmosféricas, nível cerâunico (N)</t>
  </si>
  <si>
    <t>R</t>
  </si>
  <si>
    <t>Movimentos do ar</t>
  </si>
  <si>
    <t>S</t>
  </si>
  <si>
    <t>Vento</t>
  </si>
  <si>
    <t>B
(Utilizações)</t>
  </si>
  <si>
    <t>1 a 5</t>
  </si>
  <si>
    <t>Competência das pessoas</t>
  </si>
  <si>
    <t>Resistência eléctrica do corpo humano</t>
  </si>
  <si>
    <t>Contacto das pessoas com o potencial da terra</t>
  </si>
  <si>
    <t>Evacuação das pessoas em caso de emergência</t>
  </si>
  <si>
    <t>Natureza dos produtos tratados ou armazenados</t>
  </si>
  <si>
    <t>C
(Construção dos Edifícios)</t>
  </si>
  <si>
    <t>Materiais de construção</t>
  </si>
  <si>
    <t>Estrutura dos edifícios</t>
  </si>
  <si>
    <t>IP41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</si>
</sst>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1" xfId="0" applyFill="1" applyBorder="1"/>
    <xf numFmtId="0" fontId="0" fillId="0" borderId="0" xfId="0" applyBorder="1"/>
    <xf numFmtId="0" fontId="3" fillId="0" borderId="0" xfId="0" applyFont="1"/>
    <xf numFmtId="0" fontId="3" fillId="0" borderId="1" xfId="0" applyFont="1" applyBorder="1"/>
    <xf numFmtId="0" fontId="0" fillId="0" borderId="5" xfId="0" applyBorder="1"/>
    <xf numFmtId="0" fontId="4" fillId="0" borderId="1" xfId="0" applyFont="1" applyBorder="1" applyAlignment="1">
      <alignment vertic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/>
    <cellStyle name="Percentagem 2" xfId="2"/>
    <cellStyle name="Percentagem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DRESA/estga/LICENCIATURA/concecao_IE/AULAS/resolucao_fichas_v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5"/>
      <sheetName val="06"/>
      <sheetName val="07.1"/>
      <sheetName val="07.2"/>
      <sheetName val="07.3"/>
      <sheetName val="07.4"/>
      <sheetName val="airo4"/>
      <sheetName val="08.1"/>
      <sheetName val="08.2"/>
      <sheetName val="09"/>
      <sheetName val="ELT"/>
      <sheetName val="gerad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29"/>
  <sheetViews>
    <sheetView tabSelected="1" workbookViewId="0"/>
  </sheetViews>
  <sheetFormatPr defaultRowHeight="15"/>
  <cols>
    <col min="1" max="2" width="9.140625" style="1"/>
    <col min="3" max="7" width="13.5703125" style="16" customWidth="1"/>
    <col min="8" max="8" width="13.5703125" style="2" customWidth="1"/>
    <col min="9" max="9" width="56.5703125" style="17" customWidth="1"/>
    <col min="10" max="16384" width="9.140625" style="1"/>
  </cols>
  <sheetData>
    <row r="2" spans="2:9" ht="18.75">
      <c r="B2" s="15" t="s">
        <v>55</v>
      </c>
    </row>
    <row r="3" spans="2:9" ht="15.75" thickBot="1"/>
    <row r="4" spans="2:9">
      <c r="C4" s="34" t="s">
        <v>56</v>
      </c>
      <c r="D4" s="18" t="s">
        <v>57</v>
      </c>
      <c r="E4" s="18" t="s">
        <v>58</v>
      </c>
      <c r="F4" s="18" t="s">
        <v>59</v>
      </c>
      <c r="G4" s="36" t="s">
        <v>60</v>
      </c>
      <c r="H4" s="36" t="s">
        <v>61</v>
      </c>
      <c r="I4" s="38" t="s">
        <v>62</v>
      </c>
    </row>
    <row r="5" spans="2:9" ht="30.75" thickBot="1">
      <c r="C5" s="35"/>
      <c r="D5" s="19" t="s">
        <v>63</v>
      </c>
      <c r="E5" s="19" t="s">
        <v>64</v>
      </c>
      <c r="F5" s="19" t="s">
        <v>65</v>
      </c>
      <c r="G5" s="37"/>
      <c r="H5" s="37"/>
      <c r="I5" s="39"/>
    </row>
    <row r="6" spans="2:9">
      <c r="C6" s="20">
        <v>1</v>
      </c>
      <c r="D6" s="40" t="s">
        <v>66</v>
      </c>
      <c r="E6" s="21" t="s">
        <v>67</v>
      </c>
      <c r="F6" s="21" t="s">
        <v>68</v>
      </c>
      <c r="G6" s="21" t="str">
        <f>"A"&amp;E6&amp;"X"</f>
        <v>AAX</v>
      </c>
      <c r="H6" s="21" t="str">
        <f>"A"&amp;E6&amp;"4"</f>
        <v>AA4</v>
      </c>
      <c r="I6" s="22" t="s">
        <v>69</v>
      </c>
    </row>
    <row r="7" spans="2:9">
      <c r="C7" s="23">
        <v>2</v>
      </c>
      <c r="D7" s="41"/>
      <c r="E7" s="24" t="s">
        <v>70</v>
      </c>
      <c r="F7" s="24" t="s">
        <v>68</v>
      </c>
      <c r="G7" s="24" t="str">
        <f t="shared" ref="G7:G22" si="0">"A"&amp;E7&amp;"X"</f>
        <v>ABX</v>
      </c>
      <c r="H7" s="24" t="str">
        <f>"A"&amp;E7&amp;"4"</f>
        <v>AB4</v>
      </c>
      <c r="I7" s="25" t="s">
        <v>71</v>
      </c>
    </row>
    <row r="8" spans="2:9">
      <c r="C8" s="23">
        <v>3</v>
      </c>
      <c r="D8" s="41"/>
      <c r="E8" s="24" t="s">
        <v>72</v>
      </c>
      <c r="F8" s="24" t="s">
        <v>73</v>
      </c>
      <c r="G8" s="24" t="str">
        <f t="shared" si="0"/>
        <v>ACX</v>
      </c>
      <c r="H8" s="24" t="str">
        <f t="shared" ref="H8:H22" si="1">"A"&amp;E8&amp;"1"</f>
        <v>AC1</v>
      </c>
      <c r="I8" s="25" t="s">
        <v>74</v>
      </c>
    </row>
    <row r="9" spans="2:9">
      <c r="C9" s="23">
        <v>4</v>
      </c>
      <c r="D9" s="41"/>
      <c r="E9" s="24" t="s">
        <v>75</v>
      </c>
      <c r="F9" s="24" t="s">
        <v>68</v>
      </c>
      <c r="G9" s="24" t="str">
        <f t="shared" si="0"/>
        <v>ADX</v>
      </c>
      <c r="H9" s="24" t="str">
        <f t="shared" si="1"/>
        <v>AD1</v>
      </c>
      <c r="I9" s="25" t="s">
        <v>76</v>
      </c>
    </row>
    <row r="10" spans="2:9">
      <c r="C10" s="23">
        <v>5</v>
      </c>
      <c r="D10" s="41"/>
      <c r="E10" s="24" t="s">
        <v>77</v>
      </c>
      <c r="F10" s="24" t="s">
        <v>78</v>
      </c>
      <c r="G10" s="24" t="str">
        <f t="shared" si="0"/>
        <v>AEX</v>
      </c>
      <c r="H10" s="24" t="str">
        <f t="shared" si="1"/>
        <v>AE1</v>
      </c>
      <c r="I10" s="25" t="s">
        <v>79</v>
      </c>
    </row>
    <row r="11" spans="2:9">
      <c r="C11" s="23">
        <v>6</v>
      </c>
      <c r="D11" s="41"/>
      <c r="E11" s="24" t="s">
        <v>80</v>
      </c>
      <c r="F11" s="24" t="s">
        <v>81</v>
      </c>
      <c r="G11" s="24" t="str">
        <f t="shared" si="0"/>
        <v>AFX</v>
      </c>
      <c r="H11" s="24" t="str">
        <f t="shared" si="1"/>
        <v>AF1</v>
      </c>
      <c r="I11" s="25" t="s">
        <v>82</v>
      </c>
    </row>
    <row r="12" spans="2:9">
      <c r="C12" s="23">
        <v>7</v>
      </c>
      <c r="D12" s="41"/>
      <c r="E12" s="24" t="s">
        <v>83</v>
      </c>
      <c r="F12" s="24" t="s">
        <v>84</v>
      </c>
      <c r="G12" s="24" t="str">
        <f t="shared" si="0"/>
        <v>AGX</v>
      </c>
      <c r="H12" s="24" t="str">
        <f t="shared" si="1"/>
        <v>AG1</v>
      </c>
      <c r="I12" s="25" t="s">
        <v>85</v>
      </c>
    </row>
    <row r="13" spans="2:9">
      <c r="C13" s="23">
        <v>8</v>
      </c>
      <c r="D13" s="41"/>
      <c r="E13" s="24" t="s">
        <v>86</v>
      </c>
      <c r="F13" s="24" t="s">
        <v>84</v>
      </c>
      <c r="G13" s="24" t="str">
        <f t="shared" si="0"/>
        <v>AHX</v>
      </c>
      <c r="H13" s="24" t="str">
        <f t="shared" si="1"/>
        <v>AH1</v>
      </c>
      <c r="I13" s="25" t="s">
        <v>87</v>
      </c>
    </row>
    <row r="14" spans="2:9">
      <c r="C14" s="23">
        <v>9</v>
      </c>
      <c r="D14" s="41"/>
      <c r="E14" s="24" t="s">
        <v>88</v>
      </c>
      <c r="F14" s="24">
        <v>1</v>
      </c>
      <c r="G14" s="24" t="str">
        <f t="shared" si="0"/>
        <v>AJX</v>
      </c>
      <c r="H14" s="24" t="str">
        <f t="shared" si="1"/>
        <v>AJ1</v>
      </c>
      <c r="I14" s="25" t="s">
        <v>89</v>
      </c>
    </row>
    <row r="15" spans="2:9">
      <c r="C15" s="23">
        <v>10</v>
      </c>
      <c r="D15" s="41"/>
      <c r="E15" s="24" t="s">
        <v>90</v>
      </c>
      <c r="F15" s="24" t="s">
        <v>73</v>
      </c>
      <c r="G15" s="24" t="str">
        <f t="shared" si="0"/>
        <v>AKX</v>
      </c>
      <c r="H15" s="24" t="str">
        <f t="shared" si="1"/>
        <v>AK1</v>
      </c>
      <c r="I15" s="25" t="s">
        <v>91</v>
      </c>
    </row>
    <row r="16" spans="2:9">
      <c r="C16" s="23">
        <v>11</v>
      </c>
      <c r="D16" s="41"/>
      <c r="E16" s="24" t="s">
        <v>92</v>
      </c>
      <c r="F16" s="24" t="s">
        <v>73</v>
      </c>
      <c r="G16" s="24" t="str">
        <f t="shared" si="0"/>
        <v>ALX</v>
      </c>
      <c r="H16" s="24" t="str">
        <f t="shared" si="1"/>
        <v>AL1</v>
      </c>
      <c r="I16" s="25" t="s">
        <v>93</v>
      </c>
    </row>
    <row r="17" spans="3:9">
      <c r="C17" s="23">
        <v>12</v>
      </c>
      <c r="D17" s="41"/>
      <c r="E17" s="24" t="s">
        <v>94</v>
      </c>
      <c r="F17" s="24" t="s">
        <v>78</v>
      </c>
      <c r="G17" s="24" t="str">
        <f t="shared" si="0"/>
        <v>AMX</v>
      </c>
      <c r="H17" s="24" t="str">
        <f t="shared" si="1"/>
        <v>AM1</v>
      </c>
      <c r="I17" s="25" t="s">
        <v>95</v>
      </c>
    </row>
    <row r="18" spans="3:9">
      <c r="C18" s="23">
        <v>13</v>
      </c>
      <c r="D18" s="41"/>
      <c r="E18" s="24" t="s">
        <v>96</v>
      </c>
      <c r="F18" s="24" t="s">
        <v>84</v>
      </c>
      <c r="G18" s="24" t="str">
        <f t="shared" si="0"/>
        <v>ANX</v>
      </c>
      <c r="H18" s="24" t="str">
        <f t="shared" si="1"/>
        <v>AN1</v>
      </c>
      <c r="I18" s="25" t="s">
        <v>97</v>
      </c>
    </row>
    <row r="19" spans="3:9">
      <c r="C19" s="23">
        <v>14</v>
      </c>
      <c r="D19" s="41"/>
      <c r="E19" s="24" t="s">
        <v>98</v>
      </c>
      <c r="F19" s="24" t="s">
        <v>81</v>
      </c>
      <c r="G19" s="24" t="str">
        <f t="shared" si="0"/>
        <v>APX</v>
      </c>
      <c r="H19" s="24" t="str">
        <f t="shared" si="1"/>
        <v>AP1</v>
      </c>
      <c r="I19" s="25" t="s">
        <v>99</v>
      </c>
    </row>
    <row r="20" spans="3:9">
      <c r="C20" s="23">
        <v>15</v>
      </c>
      <c r="D20" s="41"/>
      <c r="E20" s="24" t="s">
        <v>100</v>
      </c>
      <c r="F20" s="24" t="s">
        <v>84</v>
      </c>
      <c r="G20" s="24" t="str">
        <f t="shared" si="0"/>
        <v>AQX</v>
      </c>
      <c r="H20" s="24" t="str">
        <f t="shared" si="1"/>
        <v>AQ1</v>
      </c>
      <c r="I20" s="25" t="s">
        <v>101</v>
      </c>
    </row>
    <row r="21" spans="3:9">
      <c r="C21" s="23">
        <v>16</v>
      </c>
      <c r="D21" s="41"/>
      <c r="E21" s="24" t="s">
        <v>102</v>
      </c>
      <c r="F21" s="24" t="s">
        <v>84</v>
      </c>
      <c r="G21" s="24" t="str">
        <f t="shared" si="0"/>
        <v>ARX</v>
      </c>
      <c r="H21" s="24" t="str">
        <f t="shared" si="1"/>
        <v>AR1</v>
      </c>
      <c r="I21" s="25" t="s">
        <v>103</v>
      </c>
    </row>
    <row r="22" spans="3:9" ht="15.75" thickBot="1">
      <c r="C22" s="26">
        <v>17</v>
      </c>
      <c r="D22" s="42"/>
      <c r="E22" s="27" t="s">
        <v>104</v>
      </c>
      <c r="F22" s="27" t="s">
        <v>84</v>
      </c>
      <c r="G22" s="27" t="str">
        <f t="shared" si="0"/>
        <v>ASX</v>
      </c>
      <c r="H22" s="27" t="str">
        <f t="shared" si="1"/>
        <v>AS1</v>
      </c>
      <c r="I22" s="28" t="s">
        <v>105</v>
      </c>
    </row>
    <row r="23" spans="3:9">
      <c r="C23" s="20">
        <v>18</v>
      </c>
      <c r="D23" s="32" t="s">
        <v>106</v>
      </c>
      <c r="E23" s="21" t="s">
        <v>67</v>
      </c>
      <c r="F23" s="21" t="s">
        <v>107</v>
      </c>
      <c r="G23" s="21" t="str">
        <f>"B"&amp;E23&amp;"X"</f>
        <v>BAX</v>
      </c>
      <c r="H23" s="29" t="str">
        <f>"B"&amp;E23&amp;"1"</f>
        <v>BA1</v>
      </c>
      <c r="I23" s="22" t="s">
        <v>108</v>
      </c>
    </row>
    <row r="24" spans="3:9">
      <c r="C24" s="23">
        <v>19</v>
      </c>
      <c r="D24" s="43"/>
      <c r="E24" s="24" t="s">
        <v>70</v>
      </c>
      <c r="F24" s="24" t="s">
        <v>84</v>
      </c>
      <c r="G24" s="24" t="str">
        <f>"B"&amp;E24&amp;"X"</f>
        <v>BBX</v>
      </c>
      <c r="H24" s="30" t="str">
        <f t="shared" ref="H24:H27" si="2">"B"&amp;E24&amp;"1"</f>
        <v>BB1</v>
      </c>
      <c r="I24" s="25" t="s">
        <v>109</v>
      </c>
    </row>
    <row r="25" spans="3:9">
      <c r="C25" s="23">
        <v>20</v>
      </c>
      <c r="D25" s="43"/>
      <c r="E25" s="24" t="s">
        <v>72</v>
      </c>
      <c r="F25" s="24" t="s">
        <v>81</v>
      </c>
      <c r="G25" s="24" t="str">
        <f t="shared" ref="G25:G26" si="3">"B"&amp;E25&amp;"X"</f>
        <v>BCX</v>
      </c>
      <c r="H25" s="30" t="str">
        <f>"B"&amp;E25&amp;"2"</f>
        <v>BC2</v>
      </c>
      <c r="I25" s="25" t="s">
        <v>110</v>
      </c>
    </row>
    <row r="26" spans="3:9">
      <c r="C26" s="23">
        <v>21</v>
      </c>
      <c r="D26" s="43"/>
      <c r="E26" s="24" t="s">
        <v>75</v>
      </c>
      <c r="F26" s="24" t="s">
        <v>81</v>
      </c>
      <c r="G26" s="24" t="str">
        <f t="shared" si="3"/>
        <v>BDX</v>
      </c>
      <c r="H26" s="30" t="str">
        <f t="shared" si="2"/>
        <v>BD1</v>
      </c>
      <c r="I26" s="25" t="s">
        <v>111</v>
      </c>
    </row>
    <row r="27" spans="3:9" ht="15.75" thickBot="1">
      <c r="C27" s="26">
        <v>22</v>
      </c>
      <c r="D27" s="33"/>
      <c r="E27" s="27" t="s">
        <v>77</v>
      </c>
      <c r="F27" s="27" t="s">
        <v>81</v>
      </c>
      <c r="G27" s="27" t="str">
        <f>"B"&amp;E27&amp;"X"</f>
        <v>BEX</v>
      </c>
      <c r="H27" s="31" t="str">
        <f t="shared" si="2"/>
        <v>BE1</v>
      </c>
      <c r="I27" s="28" t="s">
        <v>112</v>
      </c>
    </row>
    <row r="28" spans="3:9" ht="23.25" customHeight="1">
      <c r="C28" s="20">
        <v>23</v>
      </c>
      <c r="D28" s="32" t="s">
        <v>113</v>
      </c>
      <c r="E28" s="21" t="s">
        <v>67</v>
      </c>
      <c r="F28" s="21" t="s">
        <v>73</v>
      </c>
      <c r="G28" s="21" t="str">
        <f>"C"&amp;E28&amp;"X"</f>
        <v>CAX</v>
      </c>
      <c r="H28" s="29" t="str">
        <f>"C"&amp;E28&amp;"1"</f>
        <v>CA1</v>
      </c>
      <c r="I28" s="22" t="s">
        <v>114</v>
      </c>
    </row>
    <row r="29" spans="3:9" ht="23.25" customHeight="1" thickBot="1">
      <c r="C29" s="26">
        <v>24</v>
      </c>
      <c r="D29" s="33"/>
      <c r="E29" s="27" t="s">
        <v>70</v>
      </c>
      <c r="F29" s="27" t="s">
        <v>81</v>
      </c>
      <c r="G29" s="27" t="str">
        <f>"C"&amp;E29&amp;"X"</f>
        <v>CBX</v>
      </c>
      <c r="H29" s="31" t="str">
        <f>"C"&amp;E29&amp;"1"</f>
        <v>CB1</v>
      </c>
      <c r="I29" s="28" t="s">
        <v>115</v>
      </c>
    </row>
  </sheetData>
  <mergeCells count="7">
    <mergeCell ref="D28:D29"/>
    <mergeCell ref="C4:C5"/>
    <mergeCell ref="G4:G5"/>
    <mergeCell ref="H4:H5"/>
    <mergeCell ref="I4:I5"/>
    <mergeCell ref="D6:D22"/>
    <mergeCell ref="D23:D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9"/>
  <sheetViews>
    <sheetView zoomScaleNormal="100" workbookViewId="0">
      <selection activeCell="G9" sqref="G9"/>
    </sheetView>
  </sheetViews>
  <sheetFormatPr defaultRowHeight="15"/>
  <cols>
    <col min="1" max="1" width="9.140625" style="1"/>
    <col min="2" max="2" width="40" customWidth="1"/>
    <col min="3" max="3" width="43.7109375" customWidth="1"/>
    <col min="4" max="4" width="13.5703125" style="2" customWidth="1"/>
    <col min="5" max="5" width="12.5703125" style="2" customWidth="1"/>
    <col min="6" max="6" width="12.28515625" customWidth="1"/>
    <col min="7" max="7" width="10.85546875" customWidth="1"/>
    <col min="8" max="15" width="10.85546875" style="1" customWidth="1"/>
    <col min="17" max="17" width="12.5703125" customWidth="1"/>
    <col min="18" max="18" width="12.85546875" customWidth="1"/>
    <col min="19" max="19" width="11.7109375" customWidth="1"/>
    <col min="20" max="20" width="11" customWidth="1"/>
    <col min="21" max="21" width="12" customWidth="1"/>
    <col min="22" max="24" width="12" style="1" customWidth="1"/>
  </cols>
  <sheetData>
    <row r="1" spans="1:24" ht="21">
      <c r="B1" s="44" t="s">
        <v>0</v>
      </c>
      <c r="C1" s="44"/>
      <c r="D1" s="44"/>
      <c r="E1" s="4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2"/>
      <c r="W1" s="2"/>
      <c r="X1" s="2"/>
    </row>
    <row r="2" spans="1:24" ht="26.25" customHeight="1">
      <c r="B2" s="4" t="s">
        <v>1</v>
      </c>
      <c r="C2" s="4" t="s">
        <v>4</v>
      </c>
      <c r="D2" s="4" t="s">
        <v>2</v>
      </c>
      <c r="E2" s="3" t="s">
        <v>3</v>
      </c>
      <c r="H2"/>
      <c r="I2"/>
      <c r="J2"/>
      <c r="K2"/>
      <c r="L2"/>
      <c r="M2"/>
      <c r="N2"/>
      <c r="O2"/>
      <c r="V2"/>
      <c r="W2"/>
      <c r="X2"/>
    </row>
    <row r="3" spans="1:24" ht="19.5" customHeight="1">
      <c r="A3" s="6">
        <v>1</v>
      </c>
      <c r="B3" s="6" t="s">
        <v>5</v>
      </c>
      <c r="C3" s="6" t="s">
        <v>54</v>
      </c>
      <c r="D3" s="30" t="s">
        <v>50</v>
      </c>
      <c r="E3" s="30" t="s">
        <v>53</v>
      </c>
    </row>
    <row r="4" spans="1:24" ht="19.5" customHeight="1">
      <c r="A4" s="6">
        <v>2</v>
      </c>
      <c r="B4" s="6" t="s">
        <v>6</v>
      </c>
      <c r="C4" s="6" t="s">
        <v>54</v>
      </c>
      <c r="D4" s="30" t="s">
        <v>50</v>
      </c>
      <c r="E4" s="30" t="s">
        <v>53</v>
      </c>
    </row>
    <row r="5" spans="1:24" ht="19.5" customHeight="1">
      <c r="A5" s="6">
        <v>3</v>
      </c>
      <c r="B5" s="6" t="s">
        <v>8</v>
      </c>
      <c r="C5" s="6" t="s">
        <v>52</v>
      </c>
      <c r="D5" s="30" t="s">
        <v>41</v>
      </c>
      <c r="E5" s="30" t="s">
        <v>37</v>
      </c>
    </row>
    <row r="6" spans="1:24" ht="19.5" customHeight="1">
      <c r="A6" s="6">
        <v>4</v>
      </c>
      <c r="B6" s="6" t="s">
        <v>7</v>
      </c>
      <c r="C6" s="6" t="s">
        <v>51</v>
      </c>
      <c r="D6" s="30" t="s">
        <v>50</v>
      </c>
      <c r="E6" s="30" t="s">
        <v>37</v>
      </c>
    </row>
    <row r="7" spans="1:24" ht="19.5" customHeight="1">
      <c r="A7" s="6">
        <v>5</v>
      </c>
      <c r="B7" s="6" t="s">
        <v>9</v>
      </c>
      <c r="C7" s="6" t="s">
        <v>51</v>
      </c>
      <c r="D7" s="30" t="s">
        <v>50</v>
      </c>
      <c r="E7" s="30" t="s">
        <v>37</v>
      </c>
    </row>
    <row r="8" spans="1:24" ht="19.5" customHeight="1">
      <c r="A8" s="6">
        <v>6</v>
      </c>
      <c r="B8" s="6" t="s">
        <v>11</v>
      </c>
      <c r="C8" s="14" t="s">
        <v>44</v>
      </c>
      <c r="D8" s="45" t="s">
        <v>45</v>
      </c>
      <c r="E8" s="30" t="s">
        <v>37</v>
      </c>
    </row>
    <row r="9" spans="1:24" ht="19.5" customHeight="1">
      <c r="A9" s="6">
        <v>7</v>
      </c>
      <c r="B9" s="6" t="s">
        <v>10</v>
      </c>
      <c r="C9" s="14" t="s">
        <v>44</v>
      </c>
      <c r="D9" s="45" t="s">
        <v>45</v>
      </c>
      <c r="E9" s="30" t="s">
        <v>37</v>
      </c>
    </row>
    <row r="10" spans="1:24" ht="19.5" customHeight="1">
      <c r="A10" s="6">
        <v>8</v>
      </c>
      <c r="B10" s="6" t="s">
        <v>13</v>
      </c>
      <c r="C10" s="14" t="s">
        <v>44</v>
      </c>
      <c r="D10" s="45" t="s">
        <v>45</v>
      </c>
      <c r="E10" s="30" t="s">
        <v>37</v>
      </c>
    </row>
    <row r="11" spans="1:24" ht="19.5" customHeight="1">
      <c r="A11" s="6">
        <v>9</v>
      </c>
      <c r="B11" s="6" t="s">
        <v>12</v>
      </c>
      <c r="C11" s="14" t="s">
        <v>44</v>
      </c>
      <c r="D11" s="45" t="s">
        <v>45</v>
      </c>
      <c r="E11" s="30" t="s">
        <v>37</v>
      </c>
    </row>
    <row r="12" spans="1:24" ht="19.5" customHeight="1">
      <c r="A12" s="6">
        <v>10</v>
      </c>
      <c r="B12" s="6" t="s">
        <v>14</v>
      </c>
      <c r="C12" s="6" t="s">
        <v>44</v>
      </c>
      <c r="D12" s="45" t="s">
        <v>45</v>
      </c>
      <c r="E12" s="30" t="s">
        <v>37</v>
      </c>
    </row>
    <row r="13" spans="1:24" ht="19.5" customHeight="1">
      <c r="A13" s="6">
        <v>11</v>
      </c>
      <c r="B13" s="6" t="s">
        <v>15</v>
      </c>
      <c r="C13" s="14" t="s">
        <v>43</v>
      </c>
      <c r="D13" s="45" t="s">
        <v>116</v>
      </c>
      <c r="E13" s="30" t="s">
        <v>37</v>
      </c>
    </row>
    <row r="14" spans="1:24" ht="19.5" customHeight="1">
      <c r="A14" s="6">
        <v>12</v>
      </c>
      <c r="B14" s="6" t="s">
        <v>16</v>
      </c>
      <c r="C14" s="14" t="s">
        <v>44</v>
      </c>
      <c r="D14" s="45" t="s">
        <v>45</v>
      </c>
      <c r="E14" s="30" t="s">
        <v>37</v>
      </c>
    </row>
    <row r="15" spans="1:24" ht="19.5" customHeight="1">
      <c r="A15" s="6">
        <v>13</v>
      </c>
      <c r="B15" s="6" t="s">
        <v>17</v>
      </c>
      <c r="C15" s="14" t="s">
        <v>46</v>
      </c>
      <c r="D15" s="45" t="s">
        <v>47</v>
      </c>
      <c r="E15" s="30" t="s">
        <v>37</v>
      </c>
    </row>
    <row r="16" spans="1:24" ht="19.5" customHeight="1">
      <c r="A16" s="6">
        <v>14</v>
      </c>
      <c r="B16" s="6" t="s">
        <v>18</v>
      </c>
      <c r="C16" s="13" t="s">
        <v>49</v>
      </c>
      <c r="D16" s="30" t="s">
        <v>41</v>
      </c>
      <c r="E16" s="30" t="s">
        <v>37</v>
      </c>
    </row>
    <row r="17" spans="1:5" ht="19.5" customHeight="1">
      <c r="A17" s="6">
        <v>15</v>
      </c>
      <c r="B17" s="6" t="s">
        <v>19</v>
      </c>
      <c r="C17" s="12" t="s">
        <v>44</v>
      </c>
      <c r="D17" s="45" t="s">
        <v>45</v>
      </c>
      <c r="E17" s="30" t="s">
        <v>37</v>
      </c>
    </row>
    <row r="18" spans="1:5" ht="19.5" customHeight="1">
      <c r="A18" s="6">
        <v>16</v>
      </c>
      <c r="B18" s="6" t="s">
        <v>29</v>
      </c>
      <c r="C18" s="11" t="s">
        <v>35</v>
      </c>
      <c r="D18" s="30" t="s">
        <v>36</v>
      </c>
      <c r="E18" s="30" t="s">
        <v>37</v>
      </c>
    </row>
    <row r="19" spans="1:5" s="1" customFormat="1" ht="19.5" customHeight="1">
      <c r="A19" s="7" t="s">
        <v>27</v>
      </c>
      <c r="B19" s="6" t="s">
        <v>28</v>
      </c>
      <c r="C19" s="12" t="s">
        <v>38</v>
      </c>
      <c r="D19" s="30" t="s">
        <v>39</v>
      </c>
      <c r="E19" s="30" t="s">
        <v>37</v>
      </c>
    </row>
    <row r="20" spans="1:5" s="1" customFormat="1" ht="19.5" customHeight="1">
      <c r="A20" s="7" t="s">
        <v>32</v>
      </c>
      <c r="B20" s="6" t="s">
        <v>30</v>
      </c>
      <c r="C20" s="14" t="s">
        <v>42</v>
      </c>
      <c r="D20" s="45" t="s">
        <v>40</v>
      </c>
      <c r="E20" s="30" t="s">
        <v>37</v>
      </c>
    </row>
    <row r="21" spans="1:5" s="1" customFormat="1" ht="19.5" customHeight="1">
      <c r="A21" s="7" t="s">
        <v>33</v>
      </c>
      <c r="B21" s="6" t="s">
        <v>31</v>
      </c>
      <c r="C21" s="14" t="s">
        <v>43</v>
      </c>
      <c r="D21" s="45" t="s">
        <v>116</v>
      </c>
      <c r="E21" s="30" t="s">
        <v>37</v>
      </c>
    </row>
    <row r="22" spans="1:5" ht="19.5" customHeight="1">
      <c r="A22" s="6">
        <v>17</v>
      </c>
      <c r="B22" s="6" t="s">
        <v>20</v>
      </c>
      <c r="C22" s="12" t="s">
        <v>44</v>
      </c>
      <c r="D22" s="45" t="s">
        <v>45</v>
      </c>
      <c r="E22" s="30" t="s">
        <v>37</v>
      </c>
    </row>
    <row r="23" spans="1:5" ht="19.5" customHeight="1">
      <c r="A23" s="6">
        <v>18</v>
      </c>
      <c r="B23" s="6" t="s">
        <v>21</v>
      </c>
      <c r="C23" s="14" t="s">
        <v>44</v>
      </c>
      <c r="D23" s="45" t="s">
        <v>45</v>
      </c>
      <c r="E23" s="30" t="s">
        <v>37</v>
      </c>
    </row>
    <row r="24" spans="1:5" ht="19.5" customHeight="1">
      <c r="A24" s="6">
        <v>19</v>
      </c>
      <c r="B24" s="6" t="s">
        <v>22</v>
      </c>
      <c r="C24" s="14" t="s">
        <v>44</v>
      </c>
      <c r="D24" s="45" t="s">
        <v>45</v>
      </c>
      <c r="E24" s="30" t="s">
        <v>37</v>
      </c>
    </row>
    <row r="25" spans="1:5" ht="19.5" customHeight="1">
      <c r="A25" s="6">
        <v>20</v>
      </c>
      <c r="B25" s="6" t="s">
        <v>23</v>
      </c>
      <c r="C25" s="14" t="s">
        <v>44</v>
      </c>
      <c r="D25" s="45" t="s">
        <v>45</v>
      </c>
      <c r="E25" s="30" t="s">
        <v>37</v>
      </c>
    </row>
    <row r="26" spans="1:5" ht="19.5" customHeight="1">
      <c r="A26" s="6">
        <v>21</v>
      </c>
      <c r="B26" s="6" t="s">
        <v>24</v>
      </c>
      <c r="C26" s="14" t="s">
        <v>48</v>
      </c>
      <c r="D26" s="46" t="s">
        <v>40</v>
      </c>
      <c r="E26" s="30" t="s">
        <v>37</v>
      </c>
    </row>
    <row r="27" spans="1:5" ht="19.5" customHeight="1">
      <c r="A27" s="6">
        <v>22</v>
      </c>
      <c r="B27" s="6" t="s">
        <v>25</v>
      </c>
      <c r="C27" s="14" t="s">
        <v>48</v>
      </c>
      <c r="D27" s="46" t="s">
        <v>40</v>
      </c>
      <c r="E27" s="30" t="s">
        <v>37</v>
      </c>
    </row>
    <row r="28" spans="1:5" ht="19.5" customHeight="1">
      <c r="A28" s="8">
        <v>23</v>
      </c>
      <c r="B28" s="8" t="s">
        <v>26</v>
      </c>
      <c r="C28" s="14" t="s">
        <v>48</v>
      </c>
      <c r="D28" s="46" t="s">
        <v>40</v>
      </c>
      <c r="E28" s="30" t="s">
        <v>37</v>
      </c>
    </row>
    <row r="29" spans="1:5" s="10" customFormat="1" ht="19.5" customHeight="1">
      <c r="A29" s="9">
        <v>24</v>
      </c>
      <c r="B29" s="9" t="s">
        <v>34</v>
      </c>
      <c r="C29" s="14" t="s">
        <v>44</v>
      </c>
      <c r="D29" s="45" t="s">
        <v>45</v>
      </c>
      <c r="E29" s="30" t="s">
        <v>37</v>
      </c>
    </row>
  </sheetData>
  <mergeCells count="1">
    <mergeCell ref="B1:E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fatores_ie</vt:lpstr>
      <vt:lpstr>exemplo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Ribeiro</dc:creator>
  <cp:lastModifiedBy>André Sá</cp:lastModifiedBy>
  <cp:lastPrinted>2012-10-19T22:25:37Z</cp:lastPrinted>
  <dcterms:created xsi:type="dcterms:W3CDTF">2012-10-19T22:16:35Z</dcterms:created>
  <dcterms:modified xsi:type="dcterms:W3CDTF">2015-10-16T22:03:03Z</dcterms:modified>
</cp:coreProperties>
</file>