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Folha1" sheetId="1" r:id="rId1"/>
    <sheet name="Folha2" sheetId="2" r:id="rId2"/>
    <sheet name="Folha3" sheetId="3" r:id="rId3"/>
  </sheets>
  <calcPr calcId="125725"/>
</workbook>
</file>

<file path=xl/calcChain.xml><?xml version="1.0" encoding="utf-8"?>
<calcChain xmlns="http://schemas.openxmlformats.org/spreadsheetml/2006/main">
  <c r="M11" i="1"/>
  <c r="L10"/>
  <c r="M9"/>
  <c r="M8"/>
  <c r="L8"/>
  <c r="K11"/>
  <c r="K10"/>
  <c r="K9"/>
  <c r="I11"/>
  <c r="J11" s="1"/>
  <c r="L11" s="1"/>
  <c r="H10"/>
  <c r="I10" s="1"/>
  <c r="J10" s="1"/>
  <c r="M10" s="1"/>
  <c r="H9"/>
  <c r="I9" s="1"/>
  <c r="J9" s="1"/>
  <c r="L9" s="1"/>
  <c r="H8"/>
  <c r="I8" s="1"/>
  <c r="J8" s="1"/>
  <c r="K8" s="1"/>
  <c r="K15" s="1"/>
  <c r="L15" l="1"/>
  <c r="M15"/>
</calcChain>
</file>

<file path=xl/sharedStrings.xml><?xml version="1.0" encoding="utf-8"?>
<sst xmlns="http://schemas.openxmlformats.org/spreadsheetml/2006/main" count="30" uniqueCount="21">
  <si>
    <t>Fase</t>
  </si>
  <si>
    <t>L1</t>
  </si>
  <si>
    <t>L2</t>
  </si>
  <si>
    <t>L3</t>
  </si>
  <si>
    <t>x</t>
  </si>
  <si>
    <t>N. lum</t>
  </si>
  <si>
    <t>lum</t>
  </si>
  <si>
    <t>S</t>
  </si>
  <si>
    <t>VA/lum</t>
  </si>
  <si>
    <t>S (un.)</t>
  </si>
  <si>
    <t>VA</t>
  </si>
  <si>
    <t>I</t>
  </si>
  <si>
    <t>A</t>
  </si>
  <si>
    <t>Produção</t>
  </si>
  <si>
    <t>Escritório</t>
  </si>
  <si>
    <t>I1</t>
  </si>
  <si>
    <t>I2</t>
  </si>
  <si>
    <t>I3</t>
  </si>
  <si>
    <t>Total</t>
  </si>
  <si>
    <t>Exemplo resumo de iluminação</t>
  </si>
  <si>
    <t>Local</t>
  </si>
</sst>
</file>

<file path=xl/styles.xml><?xml version="1.0" encoding="utf-8"?>
<styleSheet xmlns="http://schemas.openxmlformats.org/spreadsheetml/2006/main">
  <numFmts count="1">
    <numFmt numFmtId="167" formatCode="0.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167" fontId="0" fillId="0" borderId="0" xfId="0" applyNumberFormat="1"/>
    <xf numFmtId="0" fontId="0" fillId="0" borderId="1" xfId="0" applyBorder="1" applyAlignment="1">
      <alignment horizontal="right"/>
    </xf>
    <xf numFmtId="0" fontId="0" fillId="0" borderId="1" xfId="0" applyBorder="1"/>
    <xf numFmtId="0" fontId="0" fillId="0" borderId="1" xfId="0" applyFill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2" borderId="1" xfId="0" applyFill="1" applyBorder="1"/>
    <xf numFmtId="167" fontId="0" fillId="2" borderId="1" xfId="0" applyNumberFormat="1" applyFill="1" applyBorder="1"/>
    <xf numFmtId="0" fontId="1" fillId="2" borderId="1" xfId="0" applyFont="1" applyFill="1" applyBorder="1"/>
    <xf numFmtId="167" fontId="1" fillId="2" borderId="1" xfId="0" applyNumberFormat="1" applyFont="1" applyFill="1" applyBorder="1"/>
    <xf numFmtId="0" fontId="0" fillId="0" borderId="1" xfId="0" applyFill="1" applyBorder="1" applyAlignment="1">
      <alignment horizontal="center"/>
    </xf>
    <xf numFmtId="0" fontId="2" fillId="0" borderId="0" xfId="0" applyFont="1"/>
    <xf numFmtId="0" fontId="0" fillId="2" borderId="1" xfId="0" applyFill="1" applyBorder="1" applyAlignment="1">
      <alignment horizontal="right"/>
    </xf>
    <xf numFmtId="167" fontId="0" fillId="2" borderId="1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M15"/>
  <sheetViews>
    <sheetView tabSelected="1" workbookViewId="0">
      <selection activeCell="E17" sqref="E17"/>
    </sheetView>
  </sheetViews>
  <sheetFormatPr defaultRowHeight="15"/>
  <cols>
    <col min="3" max="3" width="15.28515625" customWidth="1"/>
    <col min="4" max="6" width="7.28515625" customWidth="1"/>
  </cols>
  <sheetData>
    <row r="2" spans="2:13" ht="18.75">
      <c r="B2" s="14" t="s">
        <v>19</v>
      </c>
      <c r="H2" s="1"/>
      <c r="I2" s="1"/>
    </row>
    <row r="5" spans="2:13">
      <c r="C5" s="5" t="s">
        <v>20</v>
      </c>
      <c r="D5" s="5" t="s">
        <v>0</v>
      </c>
      <c r="E5" s="5"/>
      <c r="F5" s="5"/>
      <c r="G5" s="5" t="s">
        <v>5</v>
      </c>
      <c r="H5" s="5" t="s">
        <v>9</v>
      </c>
      <c r="I5" s="5" t="s">
        <v>7</v>
      </c>
      <c r="J5" s="5" t="s">
        <v>11</v>
      </c>
      <c r="K5" s="5" t="s">
        <v>0</v>
      </c>
      <c r="L5" s="5"/>
      <c r="M5" s="5"/>
    </row>
    <row r="6" spans="2:13">
      <c r="C6" s="5"/>
      <c r="D6" s="6" t="s">
        <v>1</v>
      </c>
      <c r="E6" s="6" t="s">
        <v>2</v>
      </c>
      <c r="F6" s="6" t="s">
        <v>3</v>
      </c>
      <c r="G6" s="5"/>
      <c r="H6" s="5"/>
      <c r="I6" s="5"/>
      <c r="J6" s="5"/>
      <c r="K6" s="13" t="s">
        <v>15</v>
      </c>
      <c r="L6" s="13" t="s">
        <v>16</v>
      </c>
      <c r="M6" s="13" t="s">
        <v>17</v>
      </c>
    </row>
    <row r="7" spans="2:13">
      <c r="C7" s="5"/>
      <c r="D7" s="7"/>
      <c r="E7" s="7"/>
      <c r="F7" s="7"/>
      <c r="G7" s="8" t="s">
        <v>6</v>
      </c>
      <c r="H7" s="8" t="s">
        <v>8</v>
      </c>
      <c r="I7" s="8" t="s">
        <v>10</v>
      </c>
      <c r="J7" s="8" t="s">
        <v>12</v>
      </c>
      <c r="K7" s="13" t="s">
        <v>12</v>
      </c>
      <c r="L7" s="13" t="s">
        <v>12</v>
      </c>
      <c r="M7" s="13" t="s">
        <v>12</v>
      </c>
    </row>
    <row r="8" spans="2:13">
      <c r="C8" s="3" t="s">
        <v>13</v>
      </c>
      <c r="D8" s="6" t="s">
        <v>4</v>
      </c>
      <c r="E8" s="6"/>
      <c r="F8" s="6"/>
      <c r="G8" s="2">
        <v>20</v>
      </c>
      <c r="H8" s="2">
        <f>100</f>
        <v>100</v>
      </c>
      <c r="I8" s="15">
        <f>G8*H8</f>
        <v>2000</v>
      </c>
      <c r="J8" s="16">
        <f>I8/230</f>
        <v>8.695652173913043</v>
      </c>
      <c r="K8" s="10">
        <f>IF(D8="x",$J8,0)</f>
        <v>8.695652173913043</v>
      </c>
      <c r="L8" s="10">
        <f t="shared" ref="L8:M11" si="0">IF(E8="x",$J8,0)</f>
        <v>0</v>
      </c>
      <c r="M8" s="10">
        <f t="shared" si="0"/>
        <v>0</v>
      </c>
    </row>
    <row r="9" spans="2:13">
      <c r="C9" s="3" t="s">
        <v>13</v>
      </c>
      <c r="D9" s="6"/>
      <c r="E9" s="6" t="s">
        <v>4</v>
      </c>
      <c r="F9" s="6"/>
      <c r="G9" s="2">
        <v>15</v>
      </c>
      <c r="H9" s="2">
        <f>100</f>
        <v>100</v>
      </c>
      <c r="I9" s="15">
        <f t="shared" ref="I9:I10" si="1">G9*H9</f>
        <v>1500</v>
      </c>
      <c r="J9" s="16">
        <f t="shared" ref="J9:J11" si="2">I9/230</f>
        <v>6.5217391304347823</v>
      </c>
      <c r="K9" s="10">
        <f t="shared" ref="K9:K11" si="3">IF(D9="x",$J9,0)</f>
        <v>0</v>
      </c>
      <c r="L9" s="10">
        <f t="shared" si="0"/>
        <v>6.5217391304347823</v>
      </c>
      <c r="M9" s="10">
        <f t="shared" si="0"/>
        <v>0</v>
      </c>
    </row>
    <row r="10" spans="2:13">
      <c r="C10" s="3" t="s">
        <v>13</v>
      </c>
      <c r="D10" s="6"/>
      <c r="E10" s="6"/>
      <c r="F10" s="6" t="s">
        <v>4</v>
      </c>
      <c r="G10" s="2">
        <v>15</v>
      </c>
      <c r="H10" s="2">
        <f>100</f>
        <v>100</v>
      </c>
      <c r="I10" s="15">
        <f t="shared" si="1"/>
        <v>1500</v>
      </c>
      <c r="J10" s="16">
        <f t="shared" si="2"/>
        <v>6.5217391304347823</v>
      </c>
      <c r="K10" s="10">
        <f t="shared" si="3"/>
        <v>0</v>
      </c>
      <c r="L10" s="10">
        <f t="shared" si="0"/>
        <v>0</v>
      </c>
      <c r="M10" s="10">
        <f t="shared" si="0"/>
        <v>6.5217391304347823</v>
      </c>
    </row>
    <row r="11" spans="2:13">
      <c r="C11" s="3" t="s">
        <v>14</v>
      </c>
      <c r="D11" s="6"/>
      <c r="E11" s="6" t="s">
        <v>4</v>
      </c>
      <c r="F11" s="6"/>
      <c r="G11" s="4">
        <v>15</v>
      </c>
      <c r="H11" s="3">
        <v>50</v>
      </c>
      <c r="I11" s="15">
        <f t="shared" ref="I11" si="4">G11*H11</f>
        <v>750</v>
      </c>
      <c r="J11" s="16">
        <f t="shared" si="2"/>
        <v>3.2608695652173911</v>
      </c>
      <c r="K11" s="10">
        <f t="shared" si="3"/>
        <v>0</v>
      </c>
      <c r="L11" s="10">
        <f t="shared" si="0"/>
        <v>3.2608695652173911</v>
      </c>
      <c r="M11" s="10">
        <f t="shared" si="0"/>
        <v>0</v>
      </c>
    </row>
    <row r="12" spans="2:13">
      <c r="C12" s="3"/>
      <c r="D12" s="3"/>
      <c r="E12" s="3"/>
      <c r="F12" s="3"/>
      <c r="G12" s="3"/>
      <c r="H12" s="3"/>
      <c r="I12" s="9"/>
      <c r="J12" s="9"/>
      <c r="K12" s="9"/>
      <c r="L12" s="9"/>
      <c r="M12" s="9"/>
    </row>
    <row r="13" spans="2:13">
      <c r="C13" s="3"/>
      <c r="D13" s="3"/>
      <c r="E13" s="3"/>
      <c r="F13" s="3"/>
      <c r="G13" s="3"/>
      <c r="H13" s="3"/>
      <c r="I13" s="9"/>
      <c r="J13" s="9"/>
      <c r="K13" s="9"/>
      <c r="L13" s="9"/>
      <c r="M13" s="9"/>
    </row>
    <row r="15" spans="2:13">
      <c r="C15" s="11" t="s">
        <v>18</v>
      </c>
      <c r="D15" s="11"/>
      <c r="E15" s="11"/>
      <c r="F15" s="11"/>
      <c r="G15" s="11"/>
      <c r="H15" s="11"/>
      <c r="I15" s="11"/>
      <c r="J15" s="11"/>
      <c r="K15" s="12">
        <f>SUM(K8:K14)</f>
        <v>8.695652173913043</v>
      </c>
      <c r="L15" s="12">
        <f t="shared" ref="L15:M15" si="5">SUM(L8:L14)</f>
        <v>9.7826086956521738</v>
      </c>
      <c r="M15" s="12">
        <f t="shared" si="5"/>
        <v>6.5217391304347823</v>
      </c>
    </row>
  </sheetData>
  <mergeCells count="7">
    <mergeCell ref="K5:M5"/>
    <mergeCell ref="D5:F5"/>
    <mergeCell ref="C5:C7"/>
    <mergeCell ref="G5:G6"/>
    <mergeCell ref="H5:H6"/>
    <mergeCell ref="I5:I6"/>
    <mergeCell ref="J5:J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Folha1</vt:lpstr>
      <vt:lpstr>Folha2</vt:lpstr>
      <vt:lpstr>Folha3</vt:lpstr>
    </vt:vector>
  </TitlesOfParts>
  <Company>ESTGA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Sá</dc:creator>
  <cp:lastModifiedBy>André Sá</cp:lastModifiedBy>
  <dcterms:created xsi:type="dcterms:W3CDTF">2018-06-12T13:38:37Z</dcterms:created>
  <dcterms:modified xsi:type="dcterms:W3CDTF">2018-06-12T14:50:18Z</dcterms:modified>
</cp:coreProperties>
</file>